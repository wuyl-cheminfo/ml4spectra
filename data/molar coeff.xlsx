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87" i="1" l="1"/>
  <c r="K86" i="1"/>
  <c r="K8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2" i="1"/>
  <c r="J2" i="1"/>
</calcChain>
</file>

<file path=xl/sharedStrings.xml><?xml version="1.0" encoding="utf-8"?>
<sst xmlns="http://schemas.openxmlformats.org/spreadsheetml/2006/main" count="286" uniqueCount="220">
  <si>
    <t>SMILES</t>
    <phoneticPr fontId="1" type="noConversion"/>
  </si>
  <si>
    <t>CCCC[N+]1=C(C2=C3C1=CC=CC3=CC=C2)/C=C/C=C4N(CCCC)C5=CC=CC6=CC=CC/4=C56</t>
  </si>
  <si>
    <t>CCCC[N+]1=C(C2=C3C1=CC=C(OCCCC)C3=CC=C2)/C=C/C=C4N(CCCC)C5=CC=C(OCCCC)C6=CC=CC/4=C56</t>
  </si>
  <si>
    <t>CCCC[N+]1=C(/C=C/C=C/C=C2N(CCCC)C3=CC=CC4=CC=CC/2=C34)C5=C6C1=CC=CC6=CC=C5</t>
  </si>
  <si>
    <t>CCCC[N+]1=C(/C=C/C=C/C=C2N(CCCC)C3=CC=C(OCCCC)C4=CC=CC/2=C34)C5=C6C1=CC=C(OCCCC)C6=CC=C5</t>
  </si>
  <si>
    <t>CC1(C)C2=C(C=CC=C2)N(CCCC)/C1=C/C=C/C=C/C=C/C3=[N+](CCCC)C4=C(C=CC=C4)C3(C)C</t>
  </si>
  <si>
    <t>CC1(C)C2=C(C=CC=C2)N(CCCC)/C1=C/C=C3C(C4=CC=CC=C4)=C(CC/3)/C=C/C5=[N+](CCCC)C6=C(C=CC=C6)C5(C)C</t>
  </si>
  <si>
    <t>CC1(C)C2=C(C(C=CC=C3)=C3C=C2)N(C)/C1=C/C=C4C(N(C5=CC=CC=C5)C6=CC=CC=C6)=C(CC/4)/C=C/C7=[N+](C)C8=C(C=CC9=C8C=CC=C9)C7(C)C</t>
  </si>
  <si>
    <t>CC1(C)C2=C(C=CC=C2)N(C)/C1=C/C=C3C(N(C4=CC=CC=C4)C5=CC=CC=C5)=C(CC/3)/C=C/C6=[N+](C)C7=C(C=CC=C7)C6(C)C</t>
  </si>
  <si>
    <t>CC1(C)C(/C=C/C=C(CC(C)(C)C2)/C=C2/C=C/C=C3N(C)C(C=CC=C4)=C4C/3(C)C)=[N+](C)C5=C1C=CC=C5</t>
  </si>
  <si>
    <t>ClC(/C1=C/C=C2C(C=CC(N(C)C)=C3)=C3OC(C4=CC=CC=C4)=C/2)=C(CCC1)/C=C/C5=C6C(C=C(N(C)C)C=C6)=[O+]C(C7=CC=CC=C7)=C5</t>
    <phoneticPr fontId="1" type="noConversion"/>
  </si>
  <si>
    <t>CN(C1=CC2=[O+]C(C3=CC=CC=C3)=CC(/C=C/C=C/C=C4C(C=CC(N(C)C)=C5)=C5OC(C6=CC=CC=C6)=C/4)=C2C=C1)C</t>
    <phoneticPr fontId="1" type="noConversion"/>
  </si>
  <si>
    <t>CN(C1=CC(OC(C2=CC=CC=C2)=C/3)=C(C=C1)C3=C\C=C\C4=C5C(C=C(N(C)C)C=C5)=[O+]C(C6=CC=CC=C6)=C4)C</t>
    <phoneticPr fontId="1" type="noConversion"/>
  </si>
  <si>
    <t>CN(C1=CC2=[O+]C(C3=CC=CC=C3)=CC(/C=C4C(C=CC(N(C)C)=C5)=C5OC(C6=CC=CC=C6)=C/4)=C2C=C1)C</t>
    <phoneticPr fontId="1" type="noConversion"/>
  </si>
  <si>
    <t>C#CCOC(C=C1)=CC=C1C2=CC(C3=CC=CC=C3)=C(CC4)C(S2)=C4/C=C/C=C5CCC6=C\5[S+]=C(C7=CC=C(OCC#C)C=C7)C=C6C8=CC=CC=C8</t>
    <phoneticPr fontId="1" type="noConversion"/>
  </si>
  <si>
    <t>ClC(/C=C1CCC2=C\1[S+]=C(C3=CC=C(OCC#C)C=C3)C=C2C4=CC=CC=C4)=C\C5=C6C(CC5)=C(C7=CC=CC=C7)C=C(C8=CC=C(OCC#C)C=C8)S6</t>
  </si>
  <si>
    <t>C#CCOC(C=C1)=CC=C1C2=CC(C3=CC=CC=C3)=C4C(O2)=C(/C=C/C=C5CCCC6=C\5[O+]=C(C7=CC=C(OCC#C)C=C7)C=C6C8=CC=CC=C8)CCC4</t>
    <phoneticPr fontId="1" type="noConversion"/>
  </si>
  <si>
    <t>C#CCOC(C=C1)=CC=C1C2=CC(C3=CC=CC=C3)=C4C(O2)=C(/C=C(Cl)/C=C5CCCC6=C\5[O+]=C(C7=CC=C(OCC#C)C=C7)C=C6C8=CC=CC=C8)CCC4</t>
    <phoneticPr fontId="1" type="noConversion"/>
  </si>
  <si>
    <t>CCN(C1=CC2=C(C=C(CCC/C3=C\C(CCC4)=C5C4=CC(C=CC(N(CC)CC)=C6)=C6O5)C3=[O+]2)C=C1)CC</t>
    <phoneticPr fontId="1" type="noConversion"/>
  </si>
  <si>
    <t>CCN(C1=CC2=C(C=C(CCC/C3=C\C=C\C(CCC4)=C5C4=CC(C=CC(N(CC)CC)=C6)=C6O5)C3=[O+]2)C=C1)CC</t>
  </si>
  <si>
    <t>CCN(C1=CC2=C(C=C(CCC/C3=C\C=C\C=C\C(CCC4)=C5C4=CC(C=CC(N(CC)CC)=C6)=C6O5)C3=[O+]2)C=C1)CC</t>
  </si>
  <si>
    <t>COC(C=C1)=CC=C1C2=[S+]C3=C(C=CC=C3)C(/C=C/C=C/C=C4C=C(C5=CC=C(OC)C=C5)SC6=C\4C=CC=C6)=C2</t>
  </si>
  <si>
    <t>CCN(CC)C1=CC2=C(C=C1)C(/C=C/C=C/C=C3C=C(C4=CC=C(OC)C=C4)SC5=C\3C=CC(N(CC)CC)=C5)=CC(C6=CC=C(OC)C=C6)=[S+]2</t>
    <phoneticPr fontId="1" type="noConversion"/>
  </si>
  <si>
    <t>COC(C=C1)=CC=C1C2=[S+]C3=C(C=C(N(CC)CC)C=C3)C(/C=C/C=C/C=C4C=C(C5=CC=C(OC)C=C5)SC6=C\4C=C(N(CC)CC)C=C6)=C2</t>
    <phoneticPr fontId="1" type="noConversion"/>
  </si>
  <si>
    <t>ClC(/C1=C/C=C2N(CCCCS(=O)([O-])=O)C3=CC=CC4=CC=CC/2=C34)=C(CCC1)/C=C/C5=[N+](CCCCS(=O)([O-])=O)C6=CC=CC7=CC=CC5=C67</t>
  </si>
  <si>
    <t>ClC(/C1=C/C2=C3C(CC2)=C(C4=CC=CC=C4)C=C(C5=CC=CC=C5)O3)=C(CC1)/C=C6CCC7=C\6[O+]=C(C8=CC=CC=C8)C=C7C9=CC=CC=C9</t>
  </si>
  <si>
    <t>ClC(/C1=C/C2=C3C(CC2)=C(C4=CC=CC=C4)C=C(C5=CC=CC=C5)S3)=C(CC1)/C=C6CCC7=C\6[S+]=C(C8=CC=CC=C8)C=C7C9=CC=CC=C9</t>
  </si>
  <si>
    <t>ClC(/C1=C/C2=C3C(CC2)=C(C4=C(OC)C=CC=C4)C=C(C5=CC=CC=C5)S3)=C(CC1)/C=C6CCC7=C\6[S+]=C(C8=CC=CC=C8)C=C7C9=CC=CC=C9OC</t>
  </si>
  <si>
    <t>ClC(/C1=C/C2=C3C(CC2)=C(C4=CC(OC)=CC=C4)C=C(C5=CC=CC=C5)S3)=C(CC1)/C=C6CCC7=C\6[S+]=C(C8=CC=CC=C8)C=C7C9=CC=CC(OC)=C9</t>
  </si>
  <si>
    <t>ClC(/C1=C/C2=C3C(CC2)=C(C4=CC=C(OC)C=C4)C=C(C5=CC=CC=C5)S3)=C(CC1)/C=C6CCC7=C\6[S+]=C(C8=CC=CC=C8)C=C7C9=CC=C(OC)C=C9</t>
  </si>
  <si>
    <t>ClC(/C1=C/C2=C3C(CC2)=C(C4=CC=CC=C4)C=C(C5=CC=CC=C5OC)S3)=C(CC1)/C=C6CCC7=C\6[S+]=C(C8=C(OC)C=CC=C8)C=C7C9=CC=CC=C9</t>
    <phoneticPr fontId="1" type="noConversion"/>
  </si>
  <si>
    <t>ClC(/C1=C/C2=C3C(CC2)=C(C4=CC=CC=C4)C=C(C5=CC=CC(OC)=C5)S3)=C(CC1)/C=C6CCC7=C\6[S+]=C(C8=CC(OC)=CC=C8)C=C7C9=CC=CC=C9</t>
  </si>
  <si>
    <t>ClC(/C1=C/C2=C3C(CC2)=C(C4=CC=CC=C4)C=C(C5=CC=C(OC)C=C5)S3)=C(CC1)/C=C6CCC7=C\6[S+]=C(C8=CC=C(OC)C=C8)C=C7C9=CC=CC=C9</t>
  </si>
  <si>
    <t>ClC(/C1=C/C2=C3C(CC2)=C(C4=CC=C(OC)C=C4)C=C(C5=CC=C(OC)C=C5)S3)=C(CC1)/C=C6CCC7=C\6[S+]=C(C8=CC=C(OC)C=C8)C=C7C9=CC=C(OC)C=C9</t>
  </si>
  <si>
    <t>ClC(/C1=C/C=C(C2=C(C3=CC=CC=C3)N(CCCCS(=O)(O[Na])=O)C4=C2C=CC=C4)/C5C(C6=CC=CC=C6)N(CCCCS(=O)(O[Na])=O)C7=C5C=CC=C7)=C(CC1)/C=C/C(C8=C(C9=CC=CC=C9)N(CCCCS(=O)(O[Na])=O)C%10=C8C=CC=C%10)=C%11C(C%12=CC=CC=C%12)=[N+](CCCCS(=O)(O[Na])=O)C%13=C\%11C=CC=C%13</t>
  </si>
  <si>
    <t>ClC(/C1=C/C=C2C(C=CC=C3)=C3SC(C4=CC=CC=C4)=C/2)=C(CCC1)/C=C/C5CC(C6=CC=CC=C6)=[S+]C7=C5C=CC=C7</t>
  </si>
  <si>
    <t>ClC(/C1=C/C=C2C(C=CC=C3)=C3OC(C4=CC=CC=C4)=C/2)=C(CCC1)/C=C/C5CC(C6=CC=CC=C6)=[O+]C7=C5C=CC=C7</t>
  </si>
  <si>
    <t>CCN(C1=CC=CC2=CC=CC3=C12)C3/C=C/C=C/C4=C(O5)C(CCC4)=C(C6=CC=CC=C6C(O)=O)C7=C5C=C(N(CC)CC)C=C7</t>
    <phoneticPr fontId="1" type="noConversion"/>
  </si>
  <si>
    <t>CC1=C(C=CC=C2)N2C(/C=C/C=C/C=C3[N+](C=CC=C4)=C4C(C)=C/3C5=CC=CC=C5)=C1C6=CC=CC=C6</t>
  </si>
  <si>
    <t>ClC(/C1=C/C=C2C(C=CC(OC)=C3)=C3OC(C4=CC=CC=C4)=C/2)=C(CCC1)/C=C/C5CC(C6=CC=CC=C6)=[O+]C7=C5C=CC(OC)=C7</t>
  </si>
  <si>
    <t>ClC(/C1=C/C=C2C(C=C3C4=C5CCCN4CCC3)=C5OC(C6=CC=CC=C6)=C/2)=C(CCC1)/C=C/C7CC(C8=CC=CC=C8)=[O+]C9=C7C=C%10C%11=C9CCCN%11CCC%10</t>
  </si>
  <si>
    <t>ClC(/C1=C/C=C2C(C=CC(N(C)C)=C3)=C3OC(C(C)(C)C)=C/2)=C(CCC1)/C=C/C4CC(C(C)(C)C)=[O+]C5=C4C=CC(N(C)C)=C5</t>
  </si>
  <si>
    <t>CC(C)(C)C1=[O+]C(C(CCCN2CCC3)=C2C3=C4)=C4C(C1)/C=C/C=C/C=C/C=C5C(C=C6C7=C8CCCN7CCC6)=C8OC(C(C)(C)C)=C/5</t>
  </si>
  <si>
    <t>CC1(C)C(/C=C/C=C/C=C/C=C2N(CCCCS(=O)([O-])=O)C(C=CC3=C4C=CC=C3)=C4C/2(C)C)=[N+](CCCCS(=O)([O-])=O)C5=C1C6=C(C=C5)C=CC=C6</t>
  </si>
  <si>
    <t>CCN(C(C=C1)C=C2C1=CC(CCC/C3=C\C(CCC4)=C5C4=CC(C=CC(N(CC)CC)=C6)=C6O5)=C3O2)CC</t>
  </si>
  <si>
    <t>CCN(C(C=C1)C=C2C1=CC(CCC/C3=C\C=C\C(CCC4)=C5C4=CC(C=CC(N(CC)CC)=C6)=C6O5)=C3O2)CC</t>
  </si>
  <si>
    <t>C12=CC3=CC(CCC/C4=C\C=C\C(CCC5)=C6C5=CC(C=C7C8=C9CCCN8CCC7)=C9O6)=C4OC3=C(CCC%10)C1=[N+]%10CCC2</t>
  </si>
  <si>
    <t>ClC(/C1=C/C(CCC2)=C3C2=CC(C=CC(N(CC)CC)=C4)=C4O3)=C(CCC1)/C=C5CCCC6=C\5OC7=CC(N(CC)CC)C=CC7=C6</t>
  </si>
  <si>
    <t>CCN(C1=CC2=C(C=C1)C=C3CCCC(/C=C/C=C/C=C/C=C4CCCC5=C\4OC6=CC(N(CC)CC)C=CC6=C5)=C3O2)CC</t>
  </si>
  <si>
    <t>C[Si](C1=C/2C=C3C(N(C)C(C)(C)C=C3C)=C1)(C)C4=CC5=C(C(C)=CC(C)(C)N5C)C=C4C2=C\C=C6C(Cl)=C(CCC\6)/C=C/C7=[N+](CCCCS(=O)(O)=O)C8=C(C(C=CC=C9)=C9C=C8)C7(C)C</t>
  </si>
  <si>
    <t>C[Si](C1=C/2C=CC(N(C)C)=C1)(C)C3=CC(N(C)C)=CC=C3C2=C\C=C4C(Cl)=C(CCC\4)/C=C/C5=[N+](CCCCS(=O)(O)=O)C6=C(C(C=CC=C7)=C7C=C6)C5(C)C</t>
  </si>
  <si>
    <t>C[Si](C1=C/2C=CC(N3CCCC3)=C1)(C)C4=CC(N5CCCC5)=CC=C4C2=C\C=C6C(Cl)=C(CCC\6)/C=C/C7=[N+](CCCCS(=O)(O)=O)C8=C(C(C=CC=C9)=C9C=C8)C7(C)C</t>
  </si>
  <si>
    <t>C[Si](C1=C/2C=C3C(N(C)CC3)=C1)(C)C4=CC5=C(CCN5C)C=C4C2=C\C=C6C(Cl)=C(CCC\6)/C=C/C7=[N+](CCCCS(=O)(O)=O)C8=C(C(C=CC=C9)=C9C=C8)C7(C)C</t>
  </si>
  <si>
    <t>CCCCCCCCC1=C(/C([N+]2=C1C=CC=C2)=C/C=C/C=C/C3=C(C(CCCCCCCC)=C4C=CC=CN43)C5=CC=CC=C5)C6=CC=CC=C6</t>
  </si>
  <si>
    <t>CN(C)C(C=C1)=CC=C1C2=C(/C([N+]3=C2C=CC=C3)=C/C=C/C=C/C4=C(C(C5=CC=C(N(C)C)C=C5)=C6C=CC=CN64)C7=CC=CC=C7)C8=CC=CC=C8</t>
  </si>
  <si>
    <t>CCCCCCCCC1=C(/C([N+]2=C1C=C(C3=CC=C(N(C)C)C=C3)C=C2)=C/C=C/C=C/C4=C(C(CCCCCCCC)=C5C=C(C6=CC=C(N(C)C)C=C6)C=CN54)C7=CC=CC=C7)C8=CC=CC=C8</t>
  </si>
  <si>
    <t>CN(C)C1=C(/C([N+]2=C1C=C(C3=CC=C(N(C)C)C=C3)C=C2)=C/C=C/C=C/C4=C(C(N(C)C)=C5C=C(C6=CC=C(N(C)C)C=C6)C=CN54)C7=CC=CC=C7)C8=CC=CC=C8</t>
  </si>
  <si>
    <t>CN1/C(C(C)(C2=C1C=CC=C2)C)=C/C=C3C4=[O+]C5=CC(N)=CC=C5C(C6=C(C(O)=O)C=CC=C6)=C4CCC/3</t>
  </si>
  <si>
    <t>CN1C2=C(C=CC=C2)S/C1=C\C=C(CC3)\C(/C3=C/C=C4SC(C=CC=C5)=C5N/4C)=C6C(N(C)C(N(C)C\6=O)=O)=O</t>
  </si>
  <si>
    <t>O=C(N(C)C/1=O)N(C)C(C1=C(/C2=C/C=C3C=CC(C=CC=C4)=C4N/3C)\C(CC2)=C\C=C5N(C)C(C=CC=C6)=C6C=C/5)=O</t>
  </si>
  <si>
    <t>O=C(N(C)C/1=O)N(C)C(C1=C(/C2=C/C=C3N(CC4=CC=CC=C4)C5=C(C\3=CC=C6)C6=CC=C5)\C(CC2)=C\C=C7N(CC8=CC=CC=C8)C9=C%10C(C=CC=C%10/7)=CC=C9)=O</t>
  </si>
  <si>
    <t>CC1(C)C2=C(C=CC3=C2C=CC=C3)N(CC)/C1=C/C=C4C(N(C(C(F)(F)F)=O)CC5=CC=CC=C5)=C(CC/4)/C=C/C6=[N+](CC)C7=C(C(C=CC=C8)=C8C=C7)C6(C)C</t>
  </si>
  <si>
    <t>CC1(C)C2=C(C=CC3=C2C=CC=C3)N(CC)/C1=C/C=C4C(N(C(C(F)(F)F)=O)CC5=CC=C(C)C=C5)=C(CC/4)/C=C/C6=[N+](CC)C7=C(C(C=CC=C8)=C8C=C7)C6(C)C</t>
  </si>
  <si>
    <t>CC1(C)C2=C(C=CC3=C2C=CC=C3)N(CC)/C1=C/C=C4C(N(C(C(F)(F)F)=O)CC5=CC=CC6=C5C=CC=C6)=C(CC/4)/C=C/C7=[N+](CC)C8=C(C(C=CC=C9)=C9C=C8)C7(C)C</t>
    <phoneticPr fontId="1" type="noConversion"/>
  </si>
  <si>
    <t>CC1(C)C2=C(C=CC3=C2C=CC=C3)N(CC)/C1=C/C=C4C(N(C(C(F)(F)F)=O)CC5=CC=C(F)C=C5)=C(CC/4)/C=C/C6=[N+](CC)C7=C(C(C=CC=C8)=C8C=C7)C6(C)C</t>
  </si>
  <si>
    <t>CC1(C)C2=C(C=CC3=C2C=CC=C3)N(CC)/C1=C/C=C4C(N(C(C(F)(F)F)=O)CC5=CC=C(Cl)C=C5)=C(CC/4)/C=C/C6=[N+](CC)C7=C(C(C=CC=C8)=C8C=C7)C6(C)C</t>
    <phoneticPr fontId="1" type="noConversion"/>
  </si>
  <si>
    <t>CC1(C)C2=C(C=CC3=C2C=CC=C3)N(CC)/C1=C/C=C4C(N(C(C(F)(F)F)=O)CC5=CC=C(Br)C=C5)=C(CC/4)/C=C/C6=[N+](CC)C7=C(C(C=CC=C8)=C8C=C7)C6(C)C</t>
  </si>
  <si>
    <t>CC1(C)C2=C(C=CC3=C2C=CC=C3)N(CC)/C1=C/C=C4C(N(C(C(F)(F)F)=O)CC5=CC=CC=C5Cl)=C(CC/4)/C=C/C6=[N+](CC)C7=C(C(C=CC=C8)=C8C=C7)C6(C)C</t>
  </si>
  <si>
    <t>CC1(C)C2=C(C=CC3=C2C=CC=C3)N(CC)/C1=C/C=C4C(N(C(C(F)(F)F)=O)CC5=CC=CC(Cl)=C5)=C(CC/4)/C=C/C6=[N+](CC)C7=C(C(C=CC=C8)=C8C=C7)C6(C)C</t>
  </si>
  <si>
    <t>CC1(C)C2=C(C=CC3=C2C=CC=C3)N(CC)/C1=C/C=C4C(N(C(C(F)(F)F)=O)CC5=CC=CC(F)=C5)=C(CC/4)/C=C/C6=[N+](CC)C7=C(C(C=CC=C8)=C8C=C7)C6(C)C</t>
  </si>
  <si>
    <t>C[N+](C(C=CC=C1)=C1C2=C3C=CC=C2)=C3/C=C/C=C/C=C4C5=C(C6=C(N/4C)C=CC=C6)C=CC=C5</t>
  </si>
  <si>
    <t>C[N+](C(C=CC(N(C1=CC=CC=C1)C2=CC=CC=C2)=C3)=C3C4=C5C=CC=C4)=C5/C=C/C=C/C=C6C7=C(C8=C(N/6C)C=CC(N(C9=CC=CC=C9)C%10=CC=CC=C%10)=C8)C=CC=C7</t>
  </si>
  <si>
    <t>C[N+](C(C=CC(C1=CC=CC=C1)=C2)=C2C3=C4C=CC=C3)=C4/C=C/C=C/C=C5C6=C(C7=C(N/5C)C=CC(C8=CC=CC=C8)=C7)C=CC=C6</t>
  </si>
  <si>
    <t>C[N+](C(C=CC(N(C)C)=C1)=C1C2=C3C=CC=C2)=C3/C=C/C=C/C=C4C5=C(C6=C(N/4C)C=CC=C6)C=CC=C5</t>
  </si>
  <si>
    <t>C[N+](C(C=CC(N(CC)CC)=C1)=C1C2=C3C=CC=C2)=C3/C=C/C=C/C=C4C5=C(C6=C(N/4C)C=CC=C6)C=CC=C5</t>
  </si>
  <si>
    <t>C[N+](C(C=C1C2=C3CCCN2CCC1)=C3C4=C5C=CC=C4)=C5/C=C/C=C/C=C6C7=C(C8=C(N/6C)C=CC=C8)C=CC=C7</t>
    <phoneticPr fontId="1" type="noConversion"/>
  </si>
  <si>
    <t>C[N+](C(C=CC(N1CCCC1)=C2)=C2C3=C4C=CC=C3)=C4/C=C/C=C/C=C5C6=C(C7=C(N/5C)C=CC=C7)C=CC=C6</t>
  </si>
  <si>
    <t>C[N+](C(C=CC(N1CCCCC1)=C2)=C2C3=C4C=CC=C3)=C4/C=C/C=C/C=C5C6=C(C7=C(N/5C)C=CC=C7)C=CC=C6</t>
  </si>
  <si>
    <t>C[N+](C(C=CC(N(C1=CC=CC=C1)C2=CC=CC=C2)=C3)=C3C4=C5C=CC=C4)=C5/C=C/C=C/C=C6C7=C(C8=C(N/6C)C=CC=C8)C=CC=C7</t>
  </si>
  <si>
    <t>C[N+](C(C=CC(C1=CC=CC=C1)=C2)=C2C3=C4C=CC=C3)=C4/C=C/C=C/C=C5C6=C(C7=C(N/5C)C=CC=C7)C=CC=C6</t>
  </si>
  <si>
    <t>CC1(C)C2=C(C=CC3=C2C=CC=C3)N(CC)/C1=C/C=C4C(Cl)=C(CCC/4)/C=C/C5=[N+](CC)C6=C(C(C=CC=C7)=C7C=C6)C5(C)C</t>
  </si>
  <si>
    <t>CC[N+]1=C(/C=C/C(CCC/2)=C(Cl)C2=C\C=C3N(CC)C(C=CC4=C5C=CC=C4)=C5C\3(C)C)C6=CC=CC7=CC=CC1=C76</t>
  </si>
  <si>
    <t>ClC(/C1=C/C=C2C(C=CC(N(C)C)=C3)=C3OC(C4=CC=CC=C4)=C/2)=C(CCC1)/C=C/C5=[N+](CC)C6=C(C(C=CC=C7)=C7C=C6)C5(C)C</t>
  </si>
  <si>
    <t>ClC(/C1=C/C=C2C=C(C3=CC=CC=C3)SC(C4=CC=CC=C4)=C/2)=C(CCC1)/C=C/C5=[N+](CC)C6=C(C(C=CC=C7)=C7C=C6)C5(C)C</t>
  </si>
  <si>
    <t>FC(C(C=C1)=CC=C1C(/C=C/C2=[N+](CC3=CC=CC=C3)C(C=CC=C4)=C4S2)=C\C=C5SC(C=CC=C6)=C6N/5CC7=CC=CC=C7)(F)F</t>
  </si>
  <si>
    <t>FC1=CC(F)=CC(C(/C=C/C2=[N+](CC3=CC=CC=C3)C(C=CC=C4)=C4S2)=C\C=C5SC(C=CC=C6)=C6N/5CC7=CC=CC=C7)=C1</t>
  </si>
  <si>
    <t>FC1=CC(F)=CC(C(/C=C/C2=[N+](CC3=CC=CC=C3)C(C=CC=C4)=C4S2)=C\C=C5SC(C=CC=C6)=C6N/5CC7=CC=CC=C7)=C1F</t>
  </si>
  <si>
    <t>CC(C(/C=C/C1=C(OC(C=CC(C([O-])=O)=C2)=C2O3)C(C4CC1)=C3/C(CC4)=C/C=C5C(C)(C)C6=C(N\5CCCCS(=O)([O-])=O)C=CC(S(=O)([O-])=O)=C6)=[N+]7CCCCS(=O)([O-])=O)(C)C8=C7C=CC(S(=O)([O-])=O)=C8</t>
  </si>
  <si>
    <t>CC(C(/C=C/C1=C2C(C3CC1)=C(C4=C2C=CC(C([O-])=O)=C4)/C(CC3)=C/C=C5C(C)(C)C6=C(N\5CCCCS(=O)([O-])=O)C=CC(S(=O)([O-])=O)=C6)=[N+]7CCCCS(=O)([O-])=O)(C)C8=C7C=CC(S(=O)([O-])=O)=C8</t>
  </si>
  <si>
    <t>CCCC[N+](C1=C(C2=CC3=C4C=CC=C3)C4=CC=C1)=C2/C=C/C(CCC/5)=C(Cl)C5=C\C=C6N(CCCC)C7=C8C(C(C=CC=C9)=C9C=C8\6)=CC=C7</t>
  </si>
  <si>
    <t>ClC(/C(CCC1)=C/C=C2C=C(C3=C(OC)C=CC=C3OC)OC4=C\2C=CC(N(CC)CC)=C4)=C1/C=C/C5=C(C=CC(N(CC)CC)=C6)C6=[O+]C(C7=C(OC)C=CC=C7OC)=C5</t>
  </si>
  <si>
    <t>CC/[N+](CC)=C(C=C1)\C=C(C1=C2)OC3=C2CCC/C3=C\C(CCC/4)=C(SC5=CC(C(F)(F)F)=CC(C(F)(F)F)=C5)C4=C\C(CCC6)=C7C6=CC8=CC=C(N(CC)CC)C=C8O7</t>
  </si>
  <si>
    <t>CC/[N+](CC)=C(C=C1)\C=C(C1=C2)OC3=C2CCC/C3=C\C(CCC/4)=C(SC5=CC=C(CC(O)=O)C=C5)C4=C\C(CCC6)=C7C6=CC8=CC=C(N(CC)CC)C=C8O7</t>
    <phoneticPr fontId="1" type="noConversion"/>
  </si>
  <si>
    <t>CC/[N+](CC)=C1C=CC2=C(C3=CC=CC=C3C(O)=O)C(CCC/C4=C\C5=C6OC7=CC(O)=CC=C7C=C6CCC5)=C4OC2=C\1</t>
  </si>
  <si>
    <t>CC/[N+](CC)=C1C=CC2=C(C3=CC=CC=C3C(O)=O)C(CCC/C4=C\C5=C6OC7=C(F)C(O)=CC=C7C=C6CCC5)=C4OC2=C\1</t>
  </si>
  <si>
    <t>CC/[N+](CC)=C1C=CC2=C(C3=CC=CC=C3C(O)=O)C(CCC/C4=C\C5=C6OC7=C(F)C(O)=C(F)C=C7C=C6CCC5)=C4OC2=C\1</t>
  </si>
  <si>
    <t>C/[N+](C)=C1C=C2OC3=CC(N(C)C)=CC=C3C(/C=C/C=C/C=C4C(C=CC(N(C)C)=C5)=C5OC6=C\4C=CC(N(C)C)=C6)=C2C=C\1</t>
  </si>
  <si>
    <t>C/[N+](C)=C1C=C2[Si](C)(C)C3=CC(N(C)C)=CC=C3C(/C=C/C=C/C=C4C(C=CC(N(C)C)=C5)=C5[Si](C)(C)C6=C\4C=CC(N(C)C)=C6)=C2C=C\1</t>
  </si>
  <si>
    <t>CC(C1=C(N2CCCCS(=O)([O-])=O)C=CC=C1)(/C2=C\C=C(\C=C\C(C(C)(C3=C4C=CC=C3)C)=[N+]4CCCCS(=O)([O-])=O)C(C=C5)=CC=C5N(C6=CC=CC=C6)C7=CC=CC=C7)C</t>
  </si>
  <si>
    <t>CC(C1=C(N2CCCCS(=O)([O-])=O)C=CC=C1)(/C2=C\C=C\C=C\C(C(C)(C3=C4C=CC=C3)C)=[N+]4CCCCS(=O)([O-])=O)C</t>
  </si>
  <si>
    <t>CC(C1=C(N2CCCCS(=O)([O-])=O)C=CC=C1)(/C2=C\C=C(Br)\C=C\C(C(C)(C3=C4C=CC=C3)C)=[N+]4CCCCS(=O)([O-])=O)C</t>
  </si>
  <si>
    <t>ClC(/C(CCC1)=C/C=C2C=C(C3=C(OC)C=CC=C3OC)OC4=C\2C=CC(N(C5=CC=CC=C5)C6=CC=CC=C6)=C4)=C1/C=C/C7=C(C=CC(N(C8=CC=CC=C8)C9=CC=CC=C9)=C%10)C%10=[O+]C(C%11=C(OC)C=CC=C%11OC)=C7</t>
  </si>
  <si>
    <t>ID</t>
    <phoneticPr fontId="1" type="noConversion"/>
  </si>
  <si>
    <t>Logε=4.91</t>
    <phoneticPr fontId="1" type="noConversion"/>
  </si>
  <si>
    <t>Logε=5.28</t>
    <phoneticPr fontId="1" type="noConversion"/>
  </si>
  <si>
    <t>Logε=5.02</t>
    <phoneticPr fontId="1" type="noConversion"/>
  </si>
  <si>
    <t>171 000</t>
  </si>
  <si>
    <t xml:space="preserve">231 000 </t>
  </si>
  <si>
    <t>19 000</t>
  </si>
  <si>
    <t>166 000</t>
  </si>
  <si>
    <t>190 000</t>
  </si>
  <si>
    <t>238 000</t>
  </si>
  <si>
    <t>210 000</t>
  </si>
  <si>
    <t>120 000</t>
  </si>
  <si>
    <t>138 750</t>
  </si>
  <si>
    <t>SOLVENT</t>
    <phoneticPr fontId="1" type="noConversion"/>
  </si>
  <si>
    <r>
      <t>1.28*10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</si>
  <si>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1.6*10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</si>
  <si>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3.233*10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</si>
  <si>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1.12*10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</si>
  <si>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2.37*10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</si>
  <si>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3.23*10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</si>
  <si>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2.11*10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</si>
  <si>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2.47*10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</si>
  <si>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1.83*10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</si>
  <si>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2.36*10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</si>
  <si>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2.40*10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</si>
  <si>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2.2*10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  <phoneticPr fontId="1" type="noConversion"/>
  </si>
  <si>
    <r>
      <t>1.17*10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  <phoneticPr fontId="1" type="noConversion"/>
  </si>
  <si>
    <r>
      <t>3.42*10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</si>
  <si>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8.34*10</t>
    </r>
    <r>
      <rPr>
        <vertAlign val="superscript"/>
        <sz val="10"/>
        <color theme="1"/>
        <rFont val="宋体"/>
        <family val="3"/>
        <charset val="134"/>
        <scheme val="minor"/>
      </rPr>
      <t>3</t>
    </r>
  </si>
  <si>
    <r>
      <t>4.76*10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</si>
  <si>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1.48*10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</si>
  <si>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0.93*10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</si>
  <si>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1.82*10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</si>
  <si>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1.4*10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</si>
  <si>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0.52*10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</si>
  <si>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0.51*10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</si>
  <si>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2.1*10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</si>
  <si>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1.9*10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</si>
  <si>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1.7*10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</si>
  <si>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2.17*10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</si>
  <si>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2.36*10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</si>
  <si>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2.63*10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</si>
  <si>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2.51*10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</si>
  <si>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</si>
  <si>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2.4*10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</si>
  <si>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2.95*10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</si>
  <si>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2.43*10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</si>
  <si>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2.20*10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</si>
  <si>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3.95*10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</si>
  <si>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1.93*10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</si>
  <si>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4.11*10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</si>
  <si>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3.19*10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</si>
  <si>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2.57*10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</si>
  <si>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3.18*10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</si>
  <si>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2.75*10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</si>
  <si>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3.35*10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</si>
  <si>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3.17*10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</si>
  <si>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3.47*10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</si>
  <si>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0.89*10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</si>
  <si>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0.35*10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</si>
  <si>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0.4*10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</si>
  <si>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0.26*10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</si>
  <si>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4.98*10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</si>
  <si>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3.13*10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</si>
  <si>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2.68*10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</si>
  <si>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14*10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</si>
  <si>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5.9*10</t>
    </r>
    <r>
      <rPr>
        <vertAlign val="superscript"/>
        <sz val="10"/>
        <color theme="1"/>
        <rFont val="宋体"/>
        <family val="3"/>
        <charset val="134"/>
        <scheme val="minor"/>
      </rPr>
      <t>4</t>
    </r>
  </si>
  <si>
    <r>
      <t>0.88*10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</si>
  <si>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0.84*10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</si>
  <si>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r>
      <t>1.73*10</t>
    </r>
    <r>
      <rPr>
        <vertAlign val="superscript"/>
        <sz val="10"/>
        <color theme="1"/>
        <rFont val="宋体"/>
        <family val="3"/>
        <charset val="134"/>
        <scheme val="minor"/>
      </rPr>
      <t>5</t>
    </r>
  </si>
  <si>
    <t>ε</t>
    <phoneticPr fontId="1" type="noConversion"/>
  </si>
  <si>
    <t>LOG</t>
    <phoneticPr fontId="1" type="noConversion"/>
  </si>
  <si>
    <t>113.5*103</t>
    <phoneticPr fontId="1" type="noConversion"/>
  </si>
  <si>
    <t>120.8*103</t>
    <phoneticPr fontId="1" type="noConversion"/>
  </si>
  <si>
    <t>157.5*103</t>
    <phoneticPr fontId="1" type="noConversion"/>
  </si>
  <si>
    <t>MeCN</t>
    <phoneticPr fontId="1" type="noConversion"/>
  </si>
  <si>
    <t>MeCN</t>
    <phoneticPr fontId="1" type="noConversion"/>
  </si>
  <si>
    <t>MeCN</t>
    <phoneticPr fontId="1" type="noConversion"/>
  </si>
  <si>
    <t>Et(30)</t>
    <phoneticPr fontId="1" type="noConversion"/>
  </si>
  <si>
    <t>SP</t>
    <phoneticPr fontId="1" type="noConversion"/>
  </si>
  <si>
    <t>SdP</t>
    <phoneticPr fontId="1" type="noConversion"/>
  </si>
  <si>
    <t>SA</t>
    <phoneticPr fontId="1" type="noConversion"/>
  </si>
  <si>
    <t>SB</t>
    <phoneticPr fontId="1" type="noConversion"/>
  </si>
  <si>
    <t>CH2Cl2</t>
    <phoneticPr fontId="1" type="noConversion"/>
  </si>
  <si>
    <t>MeCN</t>
    <phoneticPr fontId="1" type="noConversion"/>
  </si>
  <si>
    <t>CHCl3</t>
    <phoneticPr fontId="1" type="noConversion"/>
  </si>
  <si>
    <t>CH2Cl2</t>
    <phoneticPr fontId="1" type="noConversion"/>
  </si>
  <si>
    <t>CH2Cl2</t>
    <phoneticPr fontId="1" type="noConversion"/>
  </si>
  <si>
    <t>DMSO</t>
    <phoneticPr fontId="1" type="noConversion"/>
  </si>
  <si>
    <t>CH2Cl2</t>
    <phoneticPr fontId="1" type="noConversion"/>
  </si>
  <si>
    <t>CH2Cl2</t>
    <phoneticPr fontId="1" type="noConversion"/>
  </si>
  <si>
    <t>DMSO</t>
    <phoneticPr fontId="1" type="noConversion"/>
  </si>
  <si>
    <t>CH2Cl2</t>
    <phoneticPr fontId="1" type="noConversion"/>
  </si>
  <si>
    <t>EtOH</t>
    <phoneticPr fontId="1" type="noConversion"/>
  </si>
  <si>
    <t>CH2Cl2</t>
    <phoneticPr fontId="1" type="noConversion"/>
  </si>
  <si>
    <t>DCE</t>
    <phoneticPr fontId="1" type="noConversion"/>
  </si>
  <si>
    <t>DCE</t>
    <phoneticPr fontId="1" type="noConversion"/>
  </si>
  <si>
    <t>DMSO</t>
    <phoneticPr fontId="1" type="noConversion"/>
  </si>
  <si>
    <t>DMSO</t>
    <phoneticPr fontId="1" type="noConversion"/>
  </si>
  <si>
    <t>EtOH</t>
    <phoneticPr fontId="1" type="noConversion"/>
  </si>
  <si>
    <t>H2O</t>
    <phoneticPr fontId="1" type="noConversion"/>
  </si>
  <si>
    <t>H2O</t>
    <phoneticPr fontId="1" type="noConversion"/>
  </si>
  <si>
    <t>H2O</t>
    <phoneticPr fontId="1" type="noConversion"/>
  </si>
  <si>
    <t>DMSO</t>
    <phoneticPr fontId="1" type="noConversion"/>
  </si>
  <si>
    <t>DMSO</t>
    <phoneticPr fontId="1" type="noConversion"/>
  </si>
  <si>
    <t>DMSO</t>
    <phoneticPr fontId="1" type="noConversion"/>
  </si>
  <si>
    <t>CH2Cl2</t>
    <phoneticPr fontId="1" type="noConversion"/>
  </si>
  <si>
    <t>CH2Cl2</t>
    <phoneticPr fontId="1" type="noConversion"/>
  </si>
  <si>
    <t>CH2Cl2</t>
    <phoneticPr fontId="1" type="noConversion"/>
  </si>
  <si>
    <t>H2O</t>
    <phoneticPr fontId="1" type="noConversion"/>
  </si>
  <si>
    <t>CH2Cl2</t>
    <phoneticPr fontId="1" type="noConversion"/>
  </si>
  <si>
    <t>MeOH</t>
    <phoneticPr fontId="1" type="noConversion"/>
  </si>
  <si>
    <t>MeOH</t>
    <phoneticPr fontId="1" type="noConversion"/>
  </si>
  <si>
    <t>MeOH</t>
    <phoneticPr fontId="1" type="noConversion"/>
  </si>
  <si>
    <t>DCE</t>
    <phoneticPr fontId="1" type="noConversion"/>
  </si>
  <si>
    <t>DCE</t>
    <phoneticPr fontId="1" type="noConversion"/>
  </si>
  <si>
    <t>DMSO</t>
    <phoneticPr fontId="1" type="noConversion"/>
  </si>
  <si>
    <r>
      <t>1.6*10</t>
    </r>
    <r>
      <rPr>
        <vertAlign val="superscript"/>
        <sz val="10"/>
        <color rgb="FFFF0000"/>
        <rFont val="宋体"/>
        <family val="3"/>
        <charset val="134"/>
        <scheme val="minor"/>
      </rPr>
      <t>4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</si>
</sst>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vertAlign val="superscript"/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vertAlign val="superscript"/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176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workbookViewId="0">
      <selection activeCell="K15" sqref="K15"/>
    </sheetView>
  </sheetViews>
  <sheetFormatPr defaultRowHeight="13.5" x14ac:dyDescent="0.15"/>
  <cols>
    <col min="1" max="1" width="9.625" style="1" customWidth="1"/>
    <col min="2" max="2" width="21" style="1" customWidth="1"/>
    <col min="3" max="7" width="11.625" style="1" customWidth="1"/>
    <col min="8" max="8" width="9" style="1" customWidth="1"/>
    <col min="9" max="9" width="9" style="2"/>
    <col min="11" max="11" width="9" style="7"/>
  </cols>
  <sheetData>
    <row r="1" spans="1:11" x14ac:dyDescent="0.15">
      <c r="A1" s="1" t="s">
        <v>102</v>
      </c>
      <c r="B1" s="1" t="s">
        <v>0</v>
      </c>
      <c r="C1" s="1" t="s">
        <v>115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s="2" t="s">
        <v>172</v>
      </c>
      <c r="K1" s="7" t="s">
        <v>173</v>
      </c>
    </row>
    <row r="2" spans="1:11" ht="14.25" x14ac:dyDescent="0.15">
      <c r="A2" s="1">
        <v>1</v>
      </c>
      <c r="B2" s="1" t="s">
        <v>1</v>
      </c>
      <c r="C2" s="1" t="s">
        <v>177</v>
      </c>
      <c r="D2">
        <v>45.6</v>
      </c>
      <c r="E2">
        <v>0.64500000000000002</v>
      </c>
      <c r="F2">
        <v>0.97399999999999998</v>
      </c>
      <c r="G2">
        <v>4.3999999999999997E-2</v>
      </c>
      <c r="H2">
        <v>0.28599999999999998</v>
      </c>
      <c r="I2" s="5" t="s">
        <v>116</v>
      </c>
      <c r="J2">
        <f>1.28*10^5</f>
        <v>128000</v>
      </c>
      <c r="K2" s="7">
        <f>LOG10(J2)</f>
        <v>5.1072099696478688</v>
      </c>
    </row>
    <row r="3" spans="1:11" ht="14.25" x14ac:dyDescent="0.15">
      <c r="A3" s="1">
        <v>2</v>
      </c>
      <c r="B3" s="1" t="s">
        <v>2</v>
      </c>
      <c r="C3" s="1" t="s">
        <v>178</v>
      </c>
      <c r="D3">
        <v>45.6</v>
      </c>
      <c r="E3">
        <v>0.64500000000000002</v>
      </c>
      <c r="F3">
        <v>0.97399999999999998</v>
      </c>
      <c r="G3">
        <v>4.3999999999999997E-2</v>
      </c>
      <c r="H3">
        <v>0.28599999999999998</v>
      </c>
      <c r="I3" s="3" t="s">
        <v>117</v>
      </c>
      <c r="J3">
        <v>160000</v>
      </c>
      <c r="K3" s="7">
        <f t="shared" ref="K3:K66" si="0">LOG10(J3)</f>
        <v>5.204119982655925</v>
      </c>
    </row>
    <row r="4" spans="1:11" ht="14.25" x14ac:dyDescent="0.15">
      <c r="A4" s="1">
        <v>3</v>
      </c>
      <c r="B4" s="1" t="s">
        <v>3</v>
      </c>
      <c r="C4" s="1" t="s">
        <v>177</v>
      </c>
      <c r="D4">
        <v>45.6</v>
      </c>
      <c r="E4">
        <v>0.64500000000000002</v>
      </c>
      <c r="F4">
        <v>0.97399999999999998</v>
      </c>
      <c r="G4">
        <v>4.3999999999999997E-2</v>
      </c>
      <c r="H4">
        <v>0.28599999999999998</v>
      </c>
      <c r="I4" s="3" t="s">
        <v>118</v>
      </c>
      <c r="J4">
        <v>323300</v>
      </c>
      <c r="K4" s="7">
        <f t="shared" si="0"/>
        <v>5.5096057046115563</v>
      </c>
    </row>
    <row r="5" spans="1:11" ht="14.25" x14ac:dyDescent="0.15">
      <c r="A5" s="1">
        <v>4</v>
      </c>
      <c r="B5" s="1" t="s">
        <v>4</v>
      </c>
      <c r="C5" s="1" t="s">
        <v>179</v>
      </c>
      <c r="D5">
        <v>45.6</v>
      </c>
      <c r="E5">
        <v>0.64500000000000002</v>
      </c>
      <c r="F5">
        <v>0.97399999999999998</v>
      </c>
      <c r="G5">
        <v>4.3999999999999997E-2</v>
      </c>
      <c r="H5">
        <v>0.28599999999999998</v>
      </c>
      <c r="I5" s="3" t="s">
        <v>119</v>
      </c>
      <c r="J5">
        <v>112000</v>
      </c>
      <c r="K5" s="7">
        <f t="shared" si="0"/>
        <v>5.0492180226701819</v>
      </c>
    </row>
    <row r="6" spans="1:11" ht="14.25" x14ac:dyDescent="0.15">
      <c r="A6" s="1">
        <v>5</v>
      </c>
      <c r="B6" s="1" t="s">
        <v>5</v>
      </c>
      <c r="C6" s="1" t="s">
        <v>178</v>
      </c>
      <c r="D6">
        <v>45.6</v>
      </c>
      <c r="E6">
        <v>0.64500000000000002</v>
      </c>
      <c r="F6">
        <v>0.97399999999999998</v>
      </c>
      <c r="G6">
        <v>4.3999999999999997E-2</v>
      </c>
      <c r="H6">
        <v>0.28599999999999998</v>
      </c>
      <c r="I6" s="3" t="s">
        <v>120</v>
      </c>
      <c r="J6">
        <v>237000</v>
      </c>
      <c r="K6" s="7">
        <f t="shared" si="0"/>
        <v>5.3747483460101035</v>
      </c>
    </row>
    <row r="7" spans="1:11" ht="14.25" x14ac:dyDescent="0.15">
      <c r="A7" s="1">
        <v>6</v>
      </c>
      <c r="B7" s="1" t="s">
        <v>6</v>
      </c>
      <c r="C7" s="1" t="s">
        <v>179</v>
      </c>
      <c r="D7">
        <v>45.6</v>
      </c>
      <c r="E7">
        <v>0.64500000000000002</v>
      </c>
      <c r="F7">
        <v>0.97399999999999998</v>
      </c>
      <c r="G7">
        <v>4.3999999999999997E-2</v>
      </c>
      <c r="H7">
        <v>0.28599999999999998</v>
      </c>
      <c r="I7" s="3" t="s">
        <v>121</v>
      </c>
      <c r="J7">
        <v>323000</v>
      </c>
      <c r="K7" s="7">
        <f t="shared" si="0"/>
        <v>5.509202522331103</v>
      </c>
    </row>
    <row r="8" spans="1:11" ht="14.25" x14ac:dyDescent="0.15">
      <c r="A8" s="1">
        <v>7</v>
      </c>
      <c r="B8" s="1" t="s">
        <v>7</v>
      </c>
      <c r="C8" s="1" t="s">
        <v>178</v>
      </c>
      <c r="D8">
        <v>45.6</v>
      </c>
      <c r="E8">
        <v>0.64500000000000002</v>
      </c>
      <c r="F8">
        <v>0.97399999999999998</v>
      </c>
      <c r="G8">
        <v>4.3999999999999997E-2</v>
      </c>
      <c r="H8">
        <v>0.28599999999999998</v>
      </c>
      <c r="I8" s="3" t="s">
        <v>122</v>
      </c>
      <c r="J8">
        <v>211000</v>
      </c>
      <c r="K8" s="7">
        <f t="shared" si="0"/>
        <v>5.3242824552976931</v>
      </c>
    </row>
    <row r="9" spans="1:11" ht="14.25" x14ac:dyDescent="0.15">
      <c r="A9" s="1">
        <v>8</v>
      </c>
      <c r="B9" s="1" t="s">
        <v>8</v>
      </c>
      <c r="C9" s="1" t="s">
        <v>178</v>
      </c>
      <c r="D9">
        <v>45.6</v>
      </c>
      <c r="E9">
        <v>0.64500000000000002</v>
      </c>
      <c r="F9">
        <v>0.97399999999999998</v>
      </c>
      <c r="G9">
        <v>4.3999999999999997E-2</v>
      </c>
      <c r="H9">
        <v>0.28599999999999998</v>
      </c>
      <c r="I9" s="3" t="s">
        <v>123</v>
      </c>
      <c r="J9">
        <v>247000</v>
      </c>
      <c r="K9" s="7">
        <f t="shared" si="0"/>
        <v>5.3926969532596658</v>
      </c>
    </row>
    <row r="10" spans="1:11" ht="14.25" x14ac:dyDescent="0.15">
      <c r="A10" s="1">
        <v>9</v>
      </c>
      <c r="B10" s="1" t="s">
        <v>9</v>
      </c>
      <c r="C10" s="1" t="s">
        <v>177</v>
      </c>
      <c r="D10">
        <v>45.6</v>
      </c>
      <c r="E10">
        <v>0.64500000000000002</v>
      </c>
      <c r="F10">
        <v>0.97399999999999998</v>
      </c>
      <c r="G10">
        <v>4.3999999999999997E-2</v>
      </c>
      <c r="H10">
        <v>0.28599999999999998</v>
      </c>
      <c r="I10" s="3" t="s">
        <v>124</v>
      </c>
      <c r="J10">
        <v>183000</v>
      </c>
      <c r="K10" s="7">
        <f t="shared" si="0"/>
        <v>5.2624510897304297</v>
      </c>
    </row>
    <row r="11" spans="1:11" ht="14.25" x14ac:dyDescent="0.15">
      <c r="A11" s="1">
        <v>10</v>
      </c>
      <c r="B11" s="1" t="s">
        <v>10</v>
      </c>
      <c r="C11" t="s">
        <v>185</v>
      </c>
      <c r="D11">
        <v>40.700000000000003</v>
      </c>
      <c r="E11">
        <v>0.76100000000000001</v>
      </c>
      <c r="F11">
        <v>0.76900000000000002</v>
      </c>
      <c r="G11">
        <v>0.04</v>
      </c>
      <c r="H11">
        <v>0.17799999999999999</v>
      </c>
      <c r="I11" s="3" t="s">
        <v>125</v>
      </c>
      <c r="J11">
        <v>236000</v>
      </c>
      <c r="K11" s="7">
        <f t="shared" si="0"/>
        <v>5.3729120029701063</v>
      </c>
    </row>
    <row r="12" spans="1:11" ht="14.25" x14ac:dyDescent="0.15">
      <c r="A12" s="1">
        <v>11</v>
      </c>
      <c r="B12" s="1" t="s">
        <v>11</v>
      </c>
      <c r="C12" t="s">
        <v>185</v>
      </c>
      <c r="D12">
        <v>40.700000000000003</v>
      </c>
      <c r="E12">
        <v>0.76100000000000001</v>
      </c>
      <c r="F12">
        <v>0.76900000000000002</v>
      </c>
      <c r="G12">
        <v>0.04</v>
      </c>
      <c r="H12">
        <v>0.17799999999999999</v>
      </c>
      <c r="I12" s="3" t="s">
        <v>126</v>
      </c>
      <c r="J12">
        <v>240000</v>
      </c>
      <c r="K12" s="7">
        <f t="shared" si="0"/>
        <v>5.3802112417116064</v>
      </c>
    </row>
    <row r="13" spans="1:11" ht="14.25" x14ac:dyDescent="0.15">
      <c r="A13" s="1">
        <v>12</v>
      </c>
      <c r="B13" s="1" t="s">
        <v>12</v>
      </c>
      <c r="C13" t="s">
        <v>185</v>
      </c>
      <c r="D13">
        <v>40.700000000000003</v>
      </c>
      <c r="E13">
        <v>0.76100000000000001</v>
      </c>
      <c r="F13">
        <v>0.76900000000000002</v>
      </c>
      <c r="G13">
        <v>0.04</v>
      </c>
      <c r="H13">
        <v>0.17799999999999999</v>
      </c>
      <c r="I13" s="3" t="s">
        <v>127</v>
      </c>
      <c r="J13">
        <v>220000</v>
      </c>
      <c r="K13" s="7">
        <f t="shared" si="0"/>
        <v>5.3424226808222066</v>
      </c>
    </row>
    <row r="14" spans="1:11" s="8" customFormat="1" ht="14.25" x14ac:dyDescent="0.15">
      <c r="A14" s="8">
        <v>13</v>
      </c>
      <c r="B14" s="8" t="s">
        <v>13</v>
      </c>
      <c r="C14" s="8" t="s">
        <v>185</v>
      </c>
      <c r="D14" s="8">
        <v>40.700000000000003</v>
      </c>
      <c r="E14" s="8">
        <v>0.76100000000000001</v>
      </c>
      <c r="F14" s="8">
        <v>0.76900000000000002</v>
      </c>
      <c r="G14" s="8">
        <v>0.04</v>
      </c>
      <c r="H14" s="8">
        <v>0.17799999999999999</v>
      </c>
      <c r="I14" s="9" t="s">
        <v>219</v>
      </c>
      <c r="J14" s="8">
        <v>16000</v>
      </c>
      <c r="K14" s="10">
        <f t="shared" si="0"/>
        <v>4.204119982655925</v>
      </c>
    </row>
    <row r="15" spans="1:11" ht="14.25" x14ac:dyDescent="0.15">
      <c r="A15" s="1">
        <v>14</v>
      </c>
      <c r="B15" s="1" t="s">
        <v>14</v>
      </c>
      <c r="C15" t="s">
        <v>185</v>
      </c>
      <c r="D15">
        <v>40.700000000000003</v>
      </c>
      <c r="E15">
        <v>0.76100000000000001</v>
      </c>
      <c r="F15">
        <v>0.76900000000000002</v>
      </c>
      <c r="G15">
        <v>0.04</v>
      </c>
      <c r="H15">
        <v>0.17799999999999999</v>
      </c>
      <c r="I15" s="3" t="s">
        <v>128</v>
      </c>
      <c r="J15">
        <v>11700</v>
      </c>
      <c r="K15" s="7">
        <f t="shared" si="0"/>
        <v>4.0681858617461613</v>
      </c>
    </row>
    <row r="16" spans="1:11" ht="14.25" x14ac:dyDescent="0.15">
      <c r="A16" s="1">
        <v>15</v>
      </c>
      <c r="B16" s="1" t="s">
        <v>15</v>
      </c>
      <c r="C16" s="1" t="s">
        <v>177</v>
      </c>
      <c r="D16">
        <v>45.6</v>
      </c>
      <c r="E16">
        <v>0.64500000000000002</v>
      </c>
      <c r="F16">
        <v>0.97399999999999998</v>
      </c>
      <c r="G16">
        <v>4.3999999999999997E-2</v>
      </c>
      <c r="H16">
        <v>0.28599999999999998</v>
      </c>
      <c r="I16" s="3" t="s">
        <v>129</v>
      </c>
      <c r="J16">
        <v>34200</v>
      </c>
      <c r="K16" s="7">
        <f t="shared" si="0"/>
        <v>4.5340261060561353</v>
      </c>
    </row>
    <row r="17" spans="1:11" ht="14.25" x14ac:dyDescent="0.15">
      <c r="A17" s="1">
        <v>16</v>
      </c>
      <c r="B17" s="1" t="s">
        <v>16</v>
      </c>
      <c r="C17" s="1" t="s">
        <v>186</v>
      </c>
      <c r="D17">
        <v>45.6</v>
      </c>
      <c r="E17">
        <v>0.64500000000000002</v>
      </c>
      <c r="F17">
        <v>0.97399999999999998</v>
      </c>
      <c r="G17">
        <v>4.3999999999999997E-2</v>
      </c>
      <c r="H17">
        <v>0.28599999999999998</v>
      </c>
      <c r="I17" s="3" t="s">
        <v>130</v>
      </c>
      <c r="J17">
        <v>8340</v>
      </c>
      <c r="K17" s="7">
        <f t="shared" si="0"/>
        <v>3.9211660506377388</v>
      </c>
    </row>
    <row r="18" spans="1:11" ht="14.25" x14ac:dyDescent="0.15">
      <c r="A18" s="1">
        <v>17</v>
      </c>
      <c r="B18" s="1" t="s">
        <v>17</v>
      </c>
      <c r="C18" s="1" t="s">
        <v>186</v>
      </c>
      <c r="D18">
        <v>45.6</v>
      </c>
      <c r="E18">
        <v>0.64500000000000002</v>
      </c>
      <c r="F18">
        <v>0.97399999999999998</v>
      </c>
      <c r="G18">
        <v>4.3999999999999997E-2</v>
      </c>
      <c r="H18">
        <v>0.28599999999999998</v>
      </c>
      <c r="I18" s="3" t="s">
        <v>131</v>
      </c>
      <c r="J18">
        <v>47600</v>
      </c>
      <c r="K18" s="7">
        <f t="shared" si="0"/>
        <v>4.6776069527204935</v>
      </c>
    </row>
    <row r="19" spans="1:11" x14ac:dyDescent="0.15">
      <c r="A19" s="1">
        <v>18</v>
      </c>
      <c r="B19" s="1" t="s">
        <v>18</v>
      </c>
      <c r="C19" t="s">
        <v>187</v>
      </c>
      <c r="D19">
        <v>39.1</v>
      </c>
      <c r="E19">
        <v>0.78300000000000003</v>
      </c>
      <c r="F19">
        <v>0.61399999999999999</v>
      </c>
      <c r="G19">
        <v>4.7E-2</v>
      </c>
      <c r="H19">
        <v>7.0999999999999994E-2</v>
      </c>
      <c r="I19" s="4" t="s">
        <v>103</v>
      </c>
      <c r="K19" s="7">
        <v>4.91</v>
      </c>
    </row>
    <row r="20" spans="1:11" x14ac:dyDescent="0.15">
      <c r="A20" s="1">
        <v>19</v>
      </c>
      <c r="B20" s="1" t="s">
        <v>19</v>
      </c>
      <c r="C20" t="s">
        <v>187</v>
      </c>
      <c r="D20">
        <v>39.1</v>
      </c>
      <c r="E20">
        <v>0.78300000000000003</v>
      </c>
      <c r="F20">
        <v>0.61399999999999999</v>
      </c>
      <c r="G20">
        <v>4.7E-2</v>
      </c>
      <c r="H20">
        <v>7.0999999999999994E-2</v>
      </c>
      <c r="I20" s="2" t="s">
        <v>104</v>
      </c>
      <c r="K20" s="7">
        <v>5.28</v>
      </c>
    </row>
    <row r="21" spans="1:11" x14ac:dyDescent="0.15">
      <c r="A21" s="1">
        <v>20</v>
      </c>
      <c r="B21" s="1" t="s">
        <v>20</v>
      </c>
      <c r="C21" t="s">
        <v>187</v>
      </c>
      <c r="D21">
        <v>39.1</v>
      </c>
      <c r="E21">
        <v>0.78300000000000003</v>
      </c>
      <c r="F21">
        <v>0.61399999999999999</v>
      </c>
      <c r="G21">
        <v>4.7E-2</v>
      </c>
      <c r="H21">
        <v>7.0999999999999994E-2</v>
      </c>
      <c r="I21" s="2" t="s">
        <v>105</v>
      </c>
      <c r="K21" s="7">
        <v>5.0199999999999996</v>
      </c>
    </row>
    <row r="22" spans="1:11" x14ac:dyDescent="0.15">
      <c r="A22" s="1">
        <v>21</v>
      </c>
      <c r="B22" s="1" t="s">
        <v>21</v>
      </c>
      <c r="C22" t="s">
        <v>188</v>
      </c>
      <c r="D22">
        <v>40.700000000000003</v>
      </c>
      <c r="E22">
        <v>0.76100000000000001</v>
      </c>
      <c r="F22">
        <v>0.76900000000000002</v>
      </c>
      <c r="G22">
        <v>0.04</v>
      </c>
      <c r="H22">
        <v>0.17799999999999999</v>
      </c>
      <c r="I22" s="3">
        <v>184000</v>
      </c>
      <c r="J22" s="6">
        <v>184000</v>
      </c>
      <c r="K22" s="7">
        <f t="shared" si="0"/>
        <v>5.2648178230095368</v>
      </c>
    </row>
    <row r="23" spans="1:11" x14ac:dyDescent="0.15">
      <c r="A23" s="1">
        <v>22</v>
      </c>
      <c r="B23" s="1" t="s">
        <v>22</v>
      </c>
      <c r="C23" t="s">
        <v>188</v>
      </c>
      <c r="D23">
        <v>40.700000000000003</v>
      </c>
      <c r="E23">
        <v>0.76100000000000001</v>
      </c>
      <c r="F23">
        <v>0.76900000000000002</v>
      </c>
      <c r="G23">
        <v>0.04</v>
      </c>
      <c r="H23">
        <v>0.17799999999999999</v>
      </c>
      <c r="I23" s="3">
        <v>260000</v>
      </c>
      <c r="J23" s="6">
        <v>260000</v>
      </c>
      <c r="K23" s="7">
        <f t="shared" si="0"/>
        <v>5.4149733479708182</v>
      </c>
    </row>
    <row r="24" spans="1:11" x14ac:dyDescent="0.15">
      <c r="A24" s="1">
        <v>23</v>
      </c>
      <c r="B24" s="1" t="s">
        <v>23</v>
      </c>
      <c r="C24" t="s">
        <v>189</v>
      </c>
      <c r="D24">
        <v>40.700000000000003</v>
      </c>
      <c r="E24">
        <v>0.76100000000000001</v>
      </c>
      <c r="F24">
        <v>0.76900000000000002</v>
      </c>
      <c r="G24">
        <v>0.04</v>
      </c>
      <c r="H24">
        <v>0.17799999999999999</v>
      </c>
      <c r="I24" s="3">
        <v>115000</v>
      </c>
      <c r="J24" s="6">
        <v>115000</v>
      </c>
      <c r="K24" s="7">
        <f t="shared" si="0"/>
        <v>5.0606978403536118</v>
      </c>
    </row>
    <row r="25" spans="1:11" x14ac:dyDescent="0.15">
      <c r="A25" s="1">
        <v>24</v>
      </c>
      <c r="B25" s="1" t="s">
        <v>24</v>
      </c>
      <c r="C25" t="s">
        <v>190</v>
      </c>
      <c r="D25">
        <v>45.1</v>
      </c>
      <c r="E25">
        <v>0.83</v>
      </c>
      <c r="F25">
        <v>1</v>
      </c>
      <c r="G25">
        <v>7.1999999999999995E-2</v>
      </c>
      <c r="H25">
        <v>0.64700000000000002</v>
      </c>
      <c r="I25" s="3">
        <v>44655</v>
      </c>
      <c r="J25" s="6">
        <v>44655</v>
      </c>
      <c r="K25" s="7">
        <f t="shared" si="0"/>
        <v>4.6498700937024058</v>
      </c>
    </row>
    <row r="26" spans="1:11" x14ac:dyDescent="0.15">
      <c r="A26" s="1">
        <v>25</v>
      </c>
      <c r="B26" s="1" t="s">
        <v>25</v>
      </c>
      <c r="C26" t="s">
        <v>189</v>
      </c>
      <c r="D26">
        <v>40.700000000000003</v>
      </c>
      <c r="E26">
        <v>0.76100000000000001</v>
      </c>
      <c r="F26">
        <v>0.76900000000000002</v>
      </c>
      <c r="G26">
        <v>0.04</v>
      </c>
      <c r="H26">
        <v>0.17799999999999999</v>
      </c>
      <c r="I26" s="3">
        <v>117320</v>
      </c>
      <c r="J26" s="6">
        <v>117320</v>
      </c>
      <c r="K26" s="7">
        <f t="shared" si="0"/>
        <v>5.0693720543085146</v>
      </c>
    </row>
    <row r="27" spans="1:11" x14ac:dyDescent="0.15">
      <c r="A27" s="1">
        <v>26</v>
      </c>
      <c r="B27" s="1" t="s">
        <v>26</v>
      </c>
      <c r="C27" t="s">
        <v>189</v>
      </c>
      <c r="D27">
        <v>40.700000000000003</v>
      </c>
      <c r="E27">
        <v>0.76100000000000001</v>
      </c>
      <c r="F27">
        <v>0.76900000000000002</v>
      </c>
      <c r="G27">
        <v>0.04</v>
      </c>
      <c r="H27">
        <v>0.17799999999999999</v>
      </c>
      <c r="I27" s="3">
        <v>108410</v>
      </c>
      <c r="J27" s="6">
        <v>108410</v>
      </c>
      <c r="K27" s="7">
        <f t="shared" si="0"/>
        <v>5.0350693444211041</v>
      </c>
    </row>
    <row r="28" spans="1:11" x14ac:dyDescent="0.15">
      <c r="A28" s="1">
        <v>27</v>
      </c>
      <c r="B28" s="1" t="s">
        <v>27</v>
      </c>
      <c r="C28" t="s">
        <v>188</v>
      </c>
      <c r="D28">
        <v>40.700000000000003</v>
      </c>
      <c r="E28">
        <v>0.76100000000000001</v>
      </c>
      <c r="F28">
        <v>0.76900000000000002</v>
      </c>
      <c r="G28">
        <v>0.04</v>
      </c>
      <c r="H28">
        <v>0.17799999999999999</v>
      </c>
      <c r="I28" s="3">
        <v>109800</v>
      </c>
      <c r="J28" s="6">
        <v>109800</v>
      </c>
      <c r="K28" s="7">
        <f t="shared" si="0"/>
        <v>5.0406023401140727</v>
      </c>
    </row>
    <row r="29" spans="1:11" x14ac:dyDescent="0.15">
      <c r="A29" s="1">
        <v>28</v>
      </c>
      <c r="B29" s="1" t="s">
        <v>28</v>
      </c>
      <c r="C29" t="s">
        <v>188</v>
      </c>
      <c r="D29">
        <v>40.700000000000003</v>
      </c>
      <c r="E29">
        <v>0.76100000000000001</v>
      </c>
      <c r="F29">
        <v>0.76900000000000002</v>
      </c>
      <c r="G29">
        <v>0.04</v>
      </c>
      <c r="H29">
        <v>0.17799999999999999</v>
      </c>
      <c r="I29" s="3">
        <v>153900</v>
      </c>
      <c r="J29" s="6">
        <v>153900</v>
      </c>
      <c r="K29" s="7">
        <f t="shared" si="0"/>
        <v>5.1872386198314784</v>
      </c>
    </row>
    <row r="30" spans="1:11" x14ac:dyDescent="0.15">
      <c r="A30" s="1">
        <v>29</v>
      </c>
      <c r="B30" s="1" t="s">
        <v>29</v>
      </c>
      <c r="C30" t="s">
        <v>188</v>
      </c>
      <c r="D30">
        <v>40.700000000000003</v>
      </c>
      <c r="E30">
        <v>0.76100000000000001</v>
      </c>
      <c r="F30">
        <v>0.76900000000000002</v>
      </c>
      <c r="G30">
        <v>0.04</v>
      </c>
      <c r="H30">
        <v>0.17799999999999999</v>
      </c>
      <c r="I30" s="3">
        <v>108240</v>
      </c>
      <c r="J30" s="6">
        <v>108240</v>
      </c>
      <c r="K30" s="7">
        <f t="shared" si="0"/>
        <v>5.0343877835895663</v>
      </c>
    </row>
    <row r="31" spans="1:11" x14ac:dyDescent="0.15">
      <c r="A31" s="1">
        <v>30</v>
      </c>
      <c r="B31" s="1" t="s">
        <v>30</v>
      </c>
      <c r="C31" t="s">
        <v>188</v>
      </c>
      <c r="D31">
        <v>40.700000000000003</v>
      </c>
      <c r="E31">
        <v>0.76100000000000001</v>
      </c>
      <c r="F31">
        <v>0.76900000000000002</v>
      </c>
      <c r="G31">
        <v>0.04</v>
      </c>
      <c r="H31">
        <v>0.17799999999999999</v>
      </c>
      <c r="I31" s="3">
        <v>171850</v>
      </c>
      <c r="J31" s="6">
        <v>171850</v>
      </c>
      <c r="K31" s="7">
        <f t="shared" si="0"/>
        <v>5.2351495364732443</v>
      </c>
    </row>
    <row r="32" spans="1:11" x14ac:dyDescent="0.15">
      <c r="A32" s="1">
        <v>31</v>
      </c>
      <c r="B32" s="1" t="s">
        <v>31</v>
      </c>
      <c r="C32" t="s">
        <v>191</v>
      </c>
      <c r="D32">
        <v>40.700000000000003</v>
      </c>
      <c r="E32">
        <v>0.76100000000000001</v>
      </c>
      <c r="F32">
        <v>0.76900000000000002</v>
      </c>
      <c r="G32">
        <v>0.04</v>
      </c>
      <c r="H32">
        <v>0.17799999999999999</v>
      </c>
      <c r="I32" s="3">
        <v>143850</v>
      </c>
      <c r="J32" s="6">
        <v>143850</v>
      </c>
      <c r="K32" s="7">
        <f t="shared" si="0"/>
        <v>5.157909866226345</v>
      </c>
    </row>
    <row r="33" spans="1:11" x14ac:dyDescent="0.15">
      <c r="A33" s="1">
        <v>32</v>
      </c>
      <c r="B33" s="1" t="s">
        <v>32</v>
      </c>
      <c r="C33" t="s">
        <v>189</v>
      </c>
      <c r="D33">
        <v>40.700000000000003</v>
      </c>
      <c r="E33">
        <v>0.76100000000000001</v>
      </c>
      <c r="F33">
        <v>0.76900000000000002</v>
      </c>
      <c r="G33">
        <v>0.04</v>
      </c>
      <c r="H33">
        <v>0.17799999999999999</v>
      </c>
      <c r="I33" s="3">
        <v>108270</v>
      </c>
      <c r="J33" s="6">
        <v>108270</v>
      </c>
      <c r="K33" s="7">
        <f t="shared" si="0"/>
        <v>5.03450813677917</v>
      </c>
    </row>
    <row r="34" spans="1:11" x14ac:dyDescent="0.15">
      <c r="A34" s="1">
        <v>33</v>
      </c>
      <c r="B34" s="1" t="s">
        <v>33</v>
      </c>
      <c r="C34" t="s">
        <v>188</v>
      </c>
      <c r="D34">
        <v>40.700000000000003</v>
      </c>
      <c r="E34">
        <v>0.76100000000000001</v>
      </c>
      <c r="F34">
        <v>0.76900000000000002</v>
      </c>
      <c r="G34">
        <v>0.04</v>
      </c>
      <c r="H34">
        <v>0.17799999999999999</v>
      </c>
      <c r="I34" s="3">
        <v>91880</v>
      </c>
      <c r="J34" s="6">
        <v>91880</v>
      </c>
      <c r="K34" s="7">
        <f t="shared" si="0"/>
        <v>4.9632209865229884</v>
      </c>
    </row>
    <row r="35" spans="1:11" ht="14.25" x14ac:dyDescent="0.15">
      <c r="A35" s="1">
        <v>34</v>
      </c>
      <c r="B35" s="1" t="s">
        <v>34</v>
      </c>
      <c r="C35" t="s">
        <v>190</v>
      </c>
      <c r="D35">
        <v>45.1</v>
      </c>
      <c r="E35">
        <v>0.83</v>
      </c>
      <c r="F35">
        <v>1</v>
      </c>
      <c r="G35">
        <v>7.1999999999999995E-2</v>
      </c>
      <c r="H35">
        <v>0.64700000000000002</v>
      </c>
      <c r="I35" s="3" t="s">
        <v>132</v>
      </c>
      <c r="J35">
        <v>148000</v>
      </c>
      <c r="K35" s="7">
        <f t="shared" si="0"/>
        <v>5.1702617153949575</v>
      </c>
    </row>
    <row r="36" spans="1:11" x14ac:dyDescent="0.15">
      <c r="A36" s="1">
        <v>40</v>
      </c>
      <c r="B36" s="1" t="s">
        <v>35</v>
      </c>
      <c r="C36" t="s">
        <v>192</v>
      </c>
      <c r="D36">
        <v>40.700000000000003</v>
      </c>
      <c r="E36">
        <v>0.76100000000000001</v>
      </c>
      <c r="F36">
        <v>0.76900000000000002</v>
      </c>
      <c r="G36">
        <v>0.04</v>
      </c>
      <c r="H36">
        <v>0.17799999999999999</v>
      </c>
      <c r="I36" s="3" t="s">
        <v>106</v>
      </c>
      <c r="J36">
        <v>171000</v>
      </c>
      <c r="K36" s="7">
        <f t="shared" si="0"/>
        <v>5.2329961103921541</v>
      </c>
    </row>
    <row r="37" spans="1:11" x14ac:dyDescent="0.15">
      <c r="A37" s="1">
        <v>41</v>
      </c>
      <c r="B37" s="1" t="s">
        <v>36</v>
      </c>
      <c r="C37" t="s">
        <v>192</v>
      </c>
      <c r="D37">
        <v>40.700000000000003</v>
      </c>
      <c r="E37">
        <v>0.76100000000000001</v>
      </c>
      <c r="F37">
        <v>0.76900000000000002</v>
      </c>
      <c r="G37">
        <v>0.04</v>
      </c>
      <c r="H37">
        <v>0.17799999999999999</v>
      </c>
      <c r="I37" s="3" t="s">
        <v>107</v>
      </c>
      <c r="J37">
        <v>231000</v>
      </c>
      <c r="K37" s="7">
        <f t="shared" si="0"/>
        <v>5.363611979892144</v>
      </c>
    </row>
    <row r="38" spans="1:11" x14ac:dyDescent="0.15">
      <c r="A38" s="1">
        <v>43</v>
      </c>
      <c r="B38" s="1" t="s">
        <v>37</v>
      </c>
      <c r="C38" t="s">
        <v>192</v>
      </c>
      <c r="D38">
        <v>40.700000000000003</v>
      </c>
      <c r="E38">
        <v>0.76100000000000001</v>
      </c>
      <c r="F38">
        <v>0.76900000000000002</v>
      </c>
      <c r="G38">
        <v>0.04</v>
      </c>
      <c r="H38">
        <v>0.17799999999999999</v>
      </c>
      <c r="I38" s="3" t="s">
        <v>108</v>
      </c>
      <c r="J38">
        <v>19000</v>
      </c>
      <c r="K38" s="7">
        <f t="shared" si="0"/>
        <v>4.2787536009528289</v>
      </c>
    </row>
    <row r="39" spans="1:11" x14ac:dyDescent="0.15">
      <c r="A39" s="1">
        <v>47</v>
      </c>
      <c r="B39" s="1" t="s">
        <v>38</v>
      </c>
      <c r="C39" t="s">
        <v>193</v>
      </c>
      <c r="D39">
        <v>45.1</v>
      </c>
      <c r="E39">
        <v>0.83</v>
      </c>
      <c r="F39">
        <v>1</v>
      </c>
      <c r="G39">
        <v>7.1999999999999995E-2</v>
      </c>
      <c r="H39">
        <v>0.64700000000000002</v>
      </c>
      <c r="I39" s="3" t="s">
        <v>109</v>
      </c>
      <c r="J39">
        <v>166000</v>
      </c>
      <c r="K39" s="7">
        <f t="shared" si="0"/>
        <v>5.220108088040055</v>
      </c>
    </row>
    <row r="40" spans="1:11" x14ac:dyDescent="0.15">
      <c r="A40" s="1">
        <v>48</v>
      </c>
      <c r="B40" s="1" t="s">
        <v>39</v>
      </c>
      <c r="C40" t="s">
        <v>194</v>
      </c>
      <c r="D40">
        <v>40.700000000000003</v>
      </c>
      <c r="E40">
        <v>0.76100000000000001</v>
      </c>
      <c r="F40">
        <v>0.76900000000000002</v>
      </c>
      <c r="G40">
        <v>0.04</v>
      </c>
      <c r="H40">
        <v>0.17799999999999999</v>
      </c>
      <c r="I40" s="3" t="s">
        <v>110</v>
      </c>
      <c r="J40">
        <v>190000</v>
      </c>
      <c r="K40" s="7">
        <f t="shared" si="0"/>
        <v>5.2787536009528289</v>
      </c>
    </row>
    <row r="41" spans="1:11" x14ac:dyDescent="0.15">
      <c r="A41" s="1">
        <v>49</v>
      </c>
      <c r="B41" s="1" t="s">
        <v>40</v>
      </c>
      <c r="C41" t="s">
        <v>194</v>
      </c>
      <c r="D41">
        <v>40.700000000000003</v>
      </c>
      <c r="E41">
        <v>0.76100000000000001</v>
      </c>
      <c r="F41">
        <v>0.76900000000000002</v>
      </c>
      <c r="G41">
        <v>0.04</v>
      </c>
      <c r="H41">
        <v>0.17799999999999999</v>
      </c>
      <c r="I41" s="3" t="s">
        <v>111</v>
      </c>
      <c r="J41">
        <v>238000</v>
      </c>
      <c r="K41" s="7">
        <f t="shared" si="0"/>
        <v>5.3765769570565123</v>
      </c>
    </row>
    <row r="42" spans="1:11" x14ac:dyDescent="0.15">
      <c r="A42" s="1">
        <v>50</v>
      </c>
      <c r="B42" s="1" t="s">
        <v>41</v>
      </c>
      <c r="C42" t="s">
        <v>189</v>
      </c>
      <c r="D42">
        <v>40.700000000000003</v>
      </c>
      <c r="E42">
        <v>0.76100000000000001</v>
      </c>
      <c r="F42">
        <v>0.76900000000000002</v>
      </c>
      <c r="G42">
        <v>0.04</v>
      </c>
      <c r="H42">
        <v>0.17799999999999999</v>
      </c>
      <c r="I42" s="2">
        <v>252000</v>
      </c>
      <c r="J42" s="1">
        <v>252000</v>
      </c>
      <c r="K42" s="7">
        <f t="shared" si="0"/>
        <v>5.4014005407815437</v>
      </c>
    </row>
    <row r="43" spans="1:11" x14ac:dyDescent="0.15">
      <c r="A43" s="1">
        <v>51</v>
      </c>
      <c r="B43" s="1" t="s">
        <v>42</v>
      </c>
      <c r="C43" t="s">
        <v>194</v>
      </c>
      <c r="D43">
        <v>40.700000000000003</v>
      </c>
      <c r="E43">
        <v>0.76100000000000001</v>
      </c>
      <c r="F43">
        <v>0.76900000000000002</v>
      </c>
      <c r="G43">
        <v>0.04</v>
      </c>
      <c r="H43">
        <v>0.17799999999999999</v>
      </c>
      <c r="I43" s="2">
        <v>228000</v>
      </c>
      <c r="J43" s="1">
        <v>228000</v>
      </c>
      <c r="K43" s="7">
        <f t="shared" si="0"/>
        <v>5.357934847000454</v>
      </c>
    </row>
    <row r="44" spans="1:11" x14ac:dyDescent="0.15">
      <c r="A44" s="1">
        <v>52</v>
      </c>
      <c r="B44" s="1" t="s">
        <v>43</v>
      </c>
      <c r="C44" t="s">
        <v>195</v>
      </c>
      <c r="D44">
        <v>51.9</v>
      </c>
      <c r="E44">
        <v>0.63300000000000001</v>
      </c>
      <c r="F44">
        <v>0.78300000000000003</v>
      </c>
      <c r="G44">
        <v>0.4</v>
      </c>
      <c r="H44">
        <v>0.65800000000000003</v>
      </c>
      <c r="I44" s="2">
        <v>171000</v>
      </c>
      <c r="J44" s="1">
        <v>171000</v>
      </c>
      <c r="K44" s="7">
        <f t="shared" si="0"/>
        <v>5.2329961103921541</v>
      </c>
    </row>
    <row r="45" spans="1:11" ht="14.25" x14ac:dyDescent="0.15">
      <c r="A45" s="1">
        <v>55</v>
      </c>
      <c r="B45" s="1" t="s">
        <v>44</v>
      </c>
      <c r="C45" t="s">
        <v>196</v>
      </c>
      <c r="D45">
        <v>40.700000000000003</v>
      </c>
      <c r="E45">
        <v>0.76100000000000001</v>
      </c>
      <c r="F45">
        <v>0.76900000000000002</v>
      </c>
      <c r="G45">
        <v>0.04</v>
      </c>
      <c r="H45">
        <v>0.17799999999999999</v>
      </c>
      <c r="I45" s="3" t="s">
        <v>133</v>
      </c>
      <c r="J45">
        <v>93000</v>
      </c>
      <c r="K45" s="7">
        <f t="shared" si="0"/>
        <v>4.9684829485539348</v>
      </c>
    </row>
    <row r="46" spans="1:11" ht="14.25" x14ac:dyDescent="0.15">
      <c r="A46" s="1">
        <v>56</v>
      </c>
      <c r="B46" s="1" t="s">
        <v>45</v>
      </c>
      <c r="C46" t="s">
        <v>189</v>
      </c>
      <c r="D46">
        <v>40.700000000000003</v>
      </c>
      <c r="E46">
        <v>0.76100000000000001</v>
      </c>
      <c r="F46">
        <v>0.76900000000000002</v>
      </c>
      <c r="G46">
        <v>0.04</v>
      </c>
      <c r="H46">
        <v>0.17799999999999999</v>
      </c>
      <c r="I46" s="3" t="s">
        <v>134</v>
      </c>
      <c r="J46">
        <v>182000</v>
      </c>
      <c r="K46" s="7">
        <f t="shared" si="0"/>
        <v>5.2600713879850751</v>
      </c>
    </row>
    <row r="47" spans="1:11" ht="14.25" x14ac:dyDescent="0.15">
      <c r="A47" s="1">
        <v>57</v>
      </c>
      <c r="B47" s="1" t="s">
        <v>46</v>
      </c>
      <c r="C47" t="s">
        <v>196</v>
      </c>
      <c r="D47">
        <v>40.700000000000003</v>
      </c>
      <c r="E47">
        <v>0.76100000000000001</v>
      </c>
      <c r="F47">
        <v>0.76900000000000002</v>
      </c>
      <c r="G47">
        <v>0.04</v>
      </c>
      <c r="H47">
        <v>0.17799999999999999</v>
      </c>
      <c r="I47" s="3" t="s">
        <v>135</v>
      </c>
      <c r="J47">
        <v>140000</v>
      </c>
      <c r="K47" s="7">
        <f t="shared" si="0"/>
        <v>5.1461280356782382</v>
      </c>
    </row>
    <row r="48" spans="1:11" ht="14.25" x14ac:dyDescent="0.15">
      <c r="A48" s="1">
        <v>58</v>
      </c>
      <c r="B48" s="1" t="s">
        <v>47</v>
      </c>
      <c r="C48" t="s">
        <v>189</v>
      </c>
      <c r="D48">
        <v>40.700000000000003</v>
      </c>
      <c r="E48">
        <v>0.76100000000000001</v>
      </c>
      <c r="F48">
        <v>0.76900000000000002</v>
      </c>
      <c r="G48">
        <v>0.04</v>
      </c>
      <c r="H48">
        <v>0.17799999999999999</v>
      </c>
      <c r="I48" s="3" t="s">
        <v>136</v>
      </c>
      <c r="J48">
        <v>52000</v>
      </c>
      <c r="K48" s="7">
        <f t="shared" si="0"/>
        <v>4.7160033436347994</v>
      </c>
    </row>
    <row r="49" spans="1:11" ht="14.25" x14ac:dyDescent="0.15">
      <c r="A49" s="1">
        <v>59</v>
      </c>
      <c r="B49" s="1" t="s">
        <v>48</v>
      </c>
      <c r="C49" t="s">
        <v>196</v>
      </c>
      <c r="D49">
        <v>40.700000000000003</v>
      </c>
      <c r="E49">
        <v>0.76100000000000001</v>
      </c>
      <c r="F49">
        <v>0.76900000000000002</v>
      </c>
      <c r="G49">
        <v>0.04</v>
      </c>
      <c r="H49">
        <v>0.17799999999999999</v>
      </c>
      <c r="I49" s="3" t="s">
        <v>137</v>
      </c>
      <c r="J49">
        <v>51000</v>
      </c>
      <c r="K49" s="7">
        <f t="shared" si="0"/>
        <v>4.7075701760979367</v>
      </c>
    </row>
    <row r="50" spans="1:11" x14ac:dyDescent="0.15">
      <c r="A50" s="1">
        <v>63</v>
      </c>
      <c r="B50" s="1" t="s">
        <v>49</v>
      </c>
      <c r="C50" t="s">
        <v>197</v>
      </c>
      <c r="D50">
        <v>41.3</v>
      </c>
      <c r="E50">
        <v>0.77100000000000002</v>
      </c>
      <c r="F50">
        <v>0.74199999999999999</v>
      </c>
      <c r="G50">
        <v>0.03</v>
      </c>
      <c r="H50">
        <v>0.126</v>
      </c>
      <c r="I50" s="2">
        <v>236000</v>
      </c>
      <c r="J50" s="1">
        <v>236000</v>
      </c>
      <c r="K50" s="7">
        <f t="shared" si="0"/>
        <v>5.3729120029701063</v>
      </c>
    </row>
    <row r="51" spans="1:11" x14ac:dyDescent="0.15">
      <c r="A51" s="1">
        <v>64</v>
      </c>
      <c r="B51" s="1" t="s">
        <v>50</v>
      </c>
      <c r="C51" t="s">
        <v>198</v>
      </c>
      <c r="D51">
        <v>41.3</v>
      </c>
      <c r="E51">
        <v>0.77100000000000002</v>
      </c>
      <c r="F51">
        <v>0.74199999999999999</v>
      </c>
      <c r="G51">
        <v>0.03</v>
      </c>
      <c r="H51">
        <v>0.126</v>
      </c>
      <c r="I51" s="2">
        <v>86800</v>
      </c>
      <c r="J51" s="1">
        <v>86800</v>
      </c>
      <c r="K51" s="7">
        <f t="shared" si="0"/>
        <v>4.9385197251764916</v>
      </c>
    </row>
    <row r="52" spans="1:11" x14ac:dyDescent="0.15">
      <c r="A52" s="1">
        <v>65</v>
      </c>
      <c r="B52" s="1" t="s">
        <v>51</v>
      </c>
      <c r="C52" t="s">
        <v>198</v>
      </c>
      <c r="D52">
        <v>41.3</v>
      </c>
      <c r="E52">
        <v>0.77100000000000002</v>
      </c>
      <c r="F52">
        <v>0.74199999999999999</v>
      </c>
      <c r="G52">
        <v>0.03</v>
      </c>
      <c r="H52">
        <v>0.126</v>
      </c>
      <c r="I52" s="2">
        <v>58560</v>
      </c>
      <c r="J52" s="1">
        <v>58560</v>
      </c>
      <c r="K52" s="7">
        <f t="shared" si="0"/>
        <v>4.7676010680503351</v>
      </c>
    </row>
    <row r="53" spans="1:11" x14ac:dyDescent="0.15">
      <c r="A53" s="1">
        <v>66</v>
      </c>
      <c r="B53" s="1" t="s">
        <v>52</v>
      </c>
      <c r="C53" t="s">
        <v>198</v>
      </c>
      <c r="D53">
        <v>41.3</v>
      </c>
      <c r="E53">
        <v>0.77100000000000002</v>
      </c>
      <c r="F53">
        <v>0.74199999999999999</v>
      </c>
      <c r="G53">
        <v>0.03</v>
      </c>
      <c r="H53">
        <v>0.126</v>
      </c>
      <c r="I53" s="2">
        <v>54480</v>
      </c>
      <c r="J53" s="1">
        <v>54480</v>
      </c>
      <c r="K53" s="7">
        <f t="shared" si="0"/>
        <v>4.7362370989047289</v>
      </c>
    </row>
    <row r="54" spans="1:11" x14ac:dyDescent="0.15">
      <c r="A54" s="1">
        <v>67</v>
      </c>
      <c r="B54" s="1" t="s">
        <v>53</v>
      </c>
      <c r="C54" t="s">
        <v>199</v>
      </c>
      <c r="D54">
        <v>45.1</v>
      </c>
      <c r="E54">
        <v>0.83</v>
      </c>
      <c r="F54">
        <v>1</v>
      </c>
      <c r="G54">
        <v>7.1999999999999995E-2</v>
      </c>
      <c r="H54">
        <v>0.64700000000000002</v>
      </c>
      <c r="I54" s="2">
        <v>171000</v>
      </c>
      <c r="J54" s="1">
        <v>171000</v>
      </c>
      <c r="K54" s="7">
        <f t="shared" si="0"/>
        <v>5.2329961103921541</v>
      </c>
    </row>
    <row r="55" spans="1:11" x14ac:dyDescent="0.15">
      <c r="A55" s="1">
        <v>68</v>
      </c>
      <c r="B55" s="1" t="s">
        <v>54</v>
      </c>
      <c r="C55" t="s">
        <v>193</v>
      </c>
      <c r="D55">
        <v>45.1</v>
      </c>
      <c r="E55">
        <v>0.83</v>
      </c>
      <c r="F55">
        <v>1</v>
      </c>
      <c r="G55">
        <v>7.1999999999999995E-2</v>
      </c>
      <c r="H55">
        <v>0.64700000000000002</v>
      </c>
      <c r="I55" s="2">
        <v>80000</v>
      </c>
      <c r="J55" s="1">
        <v>80000</v>
      </c>
      <c r="K55" s="7">
        <f t="shared" si="0"/>
        <v>4.9030899869919438</v>
      </c>
    </row>
    <row r="56" spans="1:11" x14ac:dyDescent="0.15">
      <c r="A56" s="1">
        <v>69</v>
      </c>
      <c r="B56" s="1" t="s">
        <v>55</v>
      </c>
      <c r="C56" t="s">
        <v>193</v>
      </c>
      <c r="D56">
        <v>45.1</v>
      </c>
      <c r="E56">
        <v>0.83</v>
      </c>
      <c r="F56">
        <v>1</v>
      </c>
      <c r="G56">
        <v>7.1999999999999995E-2</v>
      </c>
      <c r="H56">
        <v>0.64700000000000002</v>
      </c>
      <c r="I56" s="2">
        <v>165000</v>
      </c>
      <c r="J56" s="1">
        <v>165000</v>
      </c>
      <c r="K56" s="7">
        <f t="shared" si="0"/>
        <v>5.2174839442139067</v>
      </c>
    </row>
    <row r="57" spans="1:11" x14ac:dyDescent="0.15">
      <c r="A57" s="1">
        <v>70</v>
      </c>
      <c r="B57" s="1" t="s">
        <v>56</v>
      </c>
      <c r="C57" t="s">
        <v>200</v>
      </c>
      <c r="D57">
        <v>45.1</v>
      </c>
      <c r="E57">
        <v>0.83</v>
      </c>
      <c r="F57">
        <v>1</v>
      </c>
      <c r="G57">
        <v>7.1999999999999995E-2</v>
      </c>
      <c r="H57">
        <v>0.64700000000000002</v>
      </c>
      <c r="I57" s="2">
        <v>120000</v>
      </c>
      <c r="J57" s="1">
        <v>120000</v>
      </c>
      <c r="K57" s="7">
        <f t="shared" si="0"/>
        <v>5.0791812460476251</v>
      </c>
    </row>
    <row r="58" spans="1:11" x14ac:dyDescent="0.15">
      <c r="A58" s="1">
        <v>78</v>
      </c>
      <c r="B58" s="1" t="s">
        <v>57</v>
      </c>
      <c r="C58" t="s">
        <v>201</v>
      </c>
      <c r="D58">
        <v>51.9</v>
      </c>
      <c r="E58">
        <v>0.63300000000000001</v>
      </c>
      <c r="F58">
        <v>0.78300000000000003</v>
      </c>
      <c r="G58">
        <v>0.4</v>
      </c>
      <c r="H58">
        <v>0.65800000000000003</v>
      </c>
      <c r="I58" s="3">
        <v>139500</v>
      </c>
      <c r="J58" s="1">
        <v>139500</v>
      </c>
      <c r="K58" s="7">
        <f t="shared" si="0"/>
        <v>5.1445742076096161</v>
      </c>
    </row>
    <row r="59" spans="1:11" ht="14.25" x14ac:dyDescent="0.15">
      <c r="A59" s="1">
        <v>89</v>
      </c>
      <c r="B59" s="1" t="s">
        <v>58</v>
      </c>
      <c r="C59" t="s">
        <v>202</v>
      </c>
      <c r="D59">
        <v>63.1</v>
      </c>
      <c r="E59">
        <v>0.68100000000000005</v>
      </c>
      <c r="F59">
        <v>0.997</v>
      </c>
      <c r="G59">
        <v>1.0620000000000001</v>
      </c>
      <c r="H59">
        <v>2.5000000000000001E-2</v>
      </c>
      <c r="I59" s="3" t="s">
        <v>138</v>
      </c>
      <c r="J59" s="1">
        <v>210000</v>
      </c>
      <c r="K59" s="7">
        <f t="shared" si="0"/>
        <v>5.3222192947339195</v>
      </c>
    </row>
    <row r="60" spans="1:11" ht="14.25" x14ac:dyDescent="0.15">
      <c r="A60" s="1">
        <v>90</v>
      </c>
      <c r="B60" s="1" t="s">
        <v>59</v>
      </c>
      <c r="C60" t="s">
        <v>203</v>
      </c>
      <c r="D60">
        <v>63.1</v>
      </c>
      <c r="E60">
        <v>0.68100000000000005</v>
      </c>
      <c r="F60">
        <v>0.997</v>
      </c>
      <c r="G60">
        <v>1.0620000000000001</v>
      </c>
      <c r="H60">
        <v>2.5000000000000001E-2</v>
      </c>
      <c r="I60" s="3" t="s">
        <v>139</v>
      </c>
      <c r="J60" s="1">
        <v>190000</v>
      </c>
      <c r="K60" s="7">
        <f t="shared" si="0"/>
        <v>5.2787536009528289</v>
      </c>
    </row>
    <row r="61" spans="1:11" ht="14.25" x14ac:dyDescent="0.15">
      <c r="A61" s="1">
        <v>91</v>
      </c>
      <c r="B61" s="1" t="s">
        <v>60</v>
      </c>
      <c r="C61" t="s">
        <v>204</v>
      </c>
      <c r="D61">
        <v>63.1</v>
      </c>
      <c r="E61">
        <v>0.68100000000000005</v>
      </c>
      <c r="F61">
        <v>0.997</v>
      </c>
      <c r="G61">
        <v>1.0620000000000001</v>
      </c>
      <c r="H61">
        <v>2.5000000000000001E-2</v>
      </c>
      <c r="I61" s="3" t="s">
        <v>140</v>
      </c>
      <c r="J61" s="1">
        <v>170000</v>
      </c>
      <c r="K61" s="7">
        <f t="shared" si="0"/>
        <v>5.2304489213782741</v>
      </c>
    </row>
    <row r="62" spans="1:11" ht="14.25" x14ac:dyDescent="0.15">
      <c r="A62" s="1">
        <v>95</v>
      </c>
      <c r="B62" s="1" t="s">
        <v>61</v>
      </c>
      <c r="C62" t="s">
        <v>205</v>
      </c>
      <c r="D62">
        <v>45.1</v>
      </c>
      <c r="E62">
        <v>0.83</v>
      </c>
      <c r="F62">
        <v>1</v>
      </c>
      <c r="G62">
        <v>7.1999999999999995E-2</v>
      </c>
      <c r="H62">
        <v>0.64700000000000002</v>
      </c>
      <c r="I62" s="3" t="s">
        <v>141</v>
      </c>
      <c r="J62" s="1">
        <v>217000</v>
      </c>
      <c r="K62" s="7">
        <f t="shared" si="0"/>
        <v>5.3364597338485291</v>
      </c>
    </row>
    <row r="63" spans="1:11" ht="14.25" x14ac:dyDescent="0.15">
      <c r="A63" s="1">
        <v>96</v>
      </c>
      <c r="B63" s="1" t="s">
        <v>62</v>
      </c>
      <c r="C63" t="s">
        <v>206</v>
      </c>
      <c r="D63">
        <v>45.1</v>
      </c>
      <c r="E63">
        <v>0.83</v>
      </c>
      <c r="F63">
        <v>1</v>
      </c>
      <c r="G63">
        <v>7.1999999999999995E-2</v>
      </c>
      <c r="H63">
        <v>0.64700000000000002</v>
      </c>
      <c r="I63" s="3" t="s">
        <v>142</v>
      </c>
      <c r="J63" s="1">
        <v>236000</v>
      </c>
      <c r="K63" s="7">
        <f t="shared" si="0"/>
        <v>5.3729120029701063</v>
      </c>
    </row>
    <row r="64" spans="1:11" ht="14.25" x14ac:dyDescent="0.15">
      <c r="A64" s="1">
        <v>97</v>
      </c>
      <c r="B64" s="1" t="s">
        <v>63</v>
      </c>
      <c r="C64" t="s">
        <v>193</v>
      </c>
      <c r="D64">
        <v>45.1</v>
      </c>
      <c r="E64">
        <v>0.83</v>
      </c>
      <c r="F64">
        <v>1</v>
      </c>
      <c r="G64">
        <v>7.1999999999999995E-2</v>
      </c>
      <c r="H64">
        <v>0.64700000000000002</v>
      </c>
      <c r="I64" s="3" t="s">
        <v>143</v>
      </c>
      <c r="J64" s="1">
        <v>263000</v>
      </c>
      <c r="K64" s="7">
        <f t="shared" si="0"/>
        <v>5.419955748489758</v>
      </c>
    </row>
    <row r="65" spans="1:11" ht="14.25" x14ac:dyDescent="0.15">
      <c r="A65" s="1">
        <v>98</v>
      </c>
      <c r="B65" s="1" t="s">
        <v>64</v>
      </c>
      <c r="C65" t="s">
        <v>193</v>
      </c>
      <c r="D65">
        <v>45.1</v>
      </c>
      <c r="E65">
        <v>0.83</v>
      </c>
      <c r="F65">
        <v>1</v>
      </c>
      <c r="G65">
        <v>7.1999999999999995E-2</v>
      </c>
      <c r="H65">
        <v>0.64700000000000002</v>
      </c>
      <c r="I65" s="3" t="s">
        <v>144</v>
      </c>
      <c r="J65" s="1">
        <v>251000</v>
      </c>
      <c r="K65" s="7">
        <f t="shared" si="0"/>
        <v>5.3996737214810384</v>
      </c>
    </row>
    <row r="66" spans="1:11" ht="14.25" x14ac:dyDescent="0.15">
      <c r="A66" s="1">
        <v>99</v>
      </c>
      <c r="B66" s="1" t="s">
        <v>65</v>
      </c>
      <c r="C66" t="s">
        <v>207</v>
      </c>
      <c r="D66">
        <v>45.1</v>
      </c>
      <c r="E66">
        <v>0.83</v>
      </c>
      <c r="F66">
        <v>1</v>
      </c>
      <c r="G66">
        <v>7.1999999999999995E-2</v>
      </c>
      <c r="H66">
        <v>0.64700000000000002</v>
      </c>
      <c r="I66" s="3" t="s">
        <v>145</v>
      </c>
      <c r="J66" s="1">
        <v>300000</v>
      </c>
      <c r="K66" s="7">
        <f t="shared" si="0"/>
        <v>5.4771212547196626</v>
      </c>
    </row>
    <row r="67" spans="1:11" ht="14.25" x14ac:dyDescent="0.15">
      <c r="A67" s="1">
        <v>100</v>
      </c>
      <c r="B67" s="1" t="s">
        <v>66</v>
      </c>
      <c r="C67" t="s">
        <v>193</v>
      </c>
      <c r="D67">
        <v>45.1</v>
      </c>
      <c r="E67">
        <v>0.83</v>
      </c>
      <c r="F67">
        <v>1</v>
      </c>
      <c r="G67">
        <v>7.1999999999999995E-2</v>
      </c>
      <c r="H67">
        <v>0.64700000000000002</v>
      </c>
      <c r="I67" s="3" t="s">
        <v>146</v>
      </c>
      <c r="J67" s="1">
        <v>240000</v>
      </c>
      <c r="K67" s="7">
        <f t="shared" ref="K67:K103" si="1">LOG10(J67)</f>
        <v>5.3802112417116064</v>
      </c>
    </row>
    <row r="68" spans="1:11" ht="14.25" x14ac:dyDescent="0.15">
      <c r="A68" s="1">
        <v>101</v>
      </c>
      <c r="B68" s="1" t="s">
        <v>67</v>
      </c>
      <c r="C68" t="s">
        <v>205</v>
      </c>
      <c r="D68">
        <v>45.1</v>
      </c>
      <c r="E68">
        <v>0.83</v>
      </c>
      <c r="F68">
        <v>1</v>
      </c>
      <c r="G68">
        <v>7.1999999999999995E-2</v>
      </c>
      <c r="H68">
        <v>0.64700000000000002</v>
      </c>
      <c r="I68" s="3" t="s">
        <v>147</v>
      </c>
      <c r="J68" s="1">
        <v>295000</v>
      </c>
      <c r="K68" s="7">
        <f t="shared" si="1"/>
        <v>5.4698220159781634</v>
      </c>
    </row>
    <row r="69" spans="1:11" ht="14.25" x14ac:dyDescent="0.15">
      <c r="A69" s="1">
        <v>102</v>
      </c>
      <c r="B69" s="1" t="s">
        <v>68</v>
      </c>
      <c r="C69" t="s">
        <v>193</v>
      </c>
      <c r="D69">
        <v>45.1</v>
      </c>
      <c r="E69">
        <v>0.83</v>
      </c>
      <c r="F69">
        <v>1</v>
      </c>
      <c r="G69">
        <v>7.1999999999999995E-2</v>
      </c>
      <c r="H69">
        <v>0.64700000000000002</v>
      </c>
      <c r="I69" s="3" t="s">
        <v>148</v>
      </c>
      <c r="J69" s="1">
        <v>243000</v>
      </c>
      <c r="K69" s="7">
        <f t="shared" si="1"/>
        <v>5.3856062735983121</v>
      </c>
    </row>
    <row r="70" spans="1:11" ht="14.25" x14ac:dyDescent="0.15">
      <c r="A70" s="1">
        <v>103</v>
      </c>
      <c r="B70" s="1" t="s">
        <v>69</v>
      </c>
      <c r="C70" t="s">
        <v>206</v>
      </c>
      <c r="D70">
        <v>45.1</v>
      </c>
      <c r="E70">
        <v>0.83</v>
      </c>
      <c r="F70">
        <v>1</v>
      </c>
      <c r="G70">
        <v>7.1999999999999995E-2</v>
      </c>
      <c r="H70">
        <v>0.64700000000000002</v>
      </c>
      <c r="I70" s="3" t="s">
        <v>149</v>
      </c>
      <c r="J70" s="1">
        <v>220000</v>
      </c>
      <c r="K70" s="7">
        <f t="shared" si="1"/>
        <v>5.3424226808222066</v>
      </c>
    </row>
    <row r="71" spans="1:11" ht="14.25" x14ac:dyDescent="0.15">
      <c r="A71" s="1">
        <v>104</v>
      </c>
      <c r="B71" s="1" t="s">
        <v>70</v>
      </c>
      <c r="C71" t="s">
        <v>189</v>
      </c>
      <c r="D71">
        <v>40.700000000000003</v>
      </c>
      <c r="E71">
        <v>0.76100000000000001</v>
      </c>
      <c r="F71">
        <v>0.76900000000000002</v>
      </c>
      <c r="G71">
        <v>0.04</v>
      </c>
      <c r="H71">
        <v>0.17799999999999999</v>
      </c>
      <c r="I71" s="3" t="s">
        <v>150</v>
      </c>
      <c r="J71" s="1">
        <v>39500</v>
      </c>
      <c r="K71" s="7">
        <f t="shared" si="1"/>
        <v>4.5965970956264606</v>
      </c>
    </row>
    <row r="72" spans="1:11" ht="14.25" x14ac:dyDescent="0.15">
      <c r="A72" s="1">
        <v>105</v>
      </c>
      <c r="B72" s="1" t="s">
        <v>71</v>
      </c>
      <c r="C72" t="s">
        <v>189</v>
      </c>
      <c r="D72">
        <v>40.700000000000003</v>
      </c>
      <c r="E72">
        <v>0.76100000000000001</v>
      </c>
      <c r="F72">
        <v>0.76900000000000002</v>
      </c>
      <c r="G72">
        <v>0.04</v>
      </c>
      <c r="H72">
        <v>0.17799999999999999</v>
      </c>
      <c r="I72" s="3" t="s">
        <v>151</v>
      </c>
      <c r="J72" s="1">
        <v>19300</v>
      </c>
      <c r="K72" s="7">
        <f t="shared" si="1"/>
        <v>4.2855573090077739</v>
      </c>
    </row>
    <row r="73" spans="1:11" ht="14.25" x14ac:dyDescent="0.15">
      <c r="A73" s="1">
        <v>106</v>
      </c>
      <c r="B73" s="1" t="s">
        <v>72</v>
      </c>
      <c r="C73" t="s">
        <v>208</v>
      </c>
      <c r="D73">
        <v>40.700000000000003</v>
      </c>
      <c r="E73">
        <v>0.76100000000000001</v>
      </c>
      <c r="F73">
        <v>0.76900000000000002</v>
      </c>
      <c r="G73">
        <v>0.04</v>
      </c>
      <c r="H73">
        <v>0.17799999999999999</v>
      </c>
      <c r="I73" s="3" t="s">
        <v>152</v>
      </c>
      <c r="J73" s="1">
        <v>41100</v>
      </c>
      <c r="K73" s="7">
        <f t="shared" si="1"/>
        <v>4.6138418218760693</v>
      </c>
    </row>
    <row r="74" spans="1:11" ht="14.25" x14ac:dyDescent="0.15">
      <c r="A74" s="1">
        <v>107</v>
      </c>
      <c r="B74" s="1" t="s">
        <v>73</v>
      </c>
      <c r="C74" t="s">
        <v>189</v>
      </c>
      <c r="D74">
        <v>40.700000000000003</v>
      </c>
      <c r="E74">
        <v>0.76100000000000001</v>
      </c>
      <c r="F74">
        <v>0.76900000000000002</v>
      </c>
      <c r="G74">
        <v>0.04</v>
      </c>
      <c r="H74">
        <v>0.17799999999999999</v>
      </c>
      <c r="I74" s="3" t="s">
        <v>153</v>
      </c>
      <c r="J74" s="1">
        <v>31900</v>
      </c>
      <c r="K74" s="7">
        <f t="shared" si="1"/>
        <v>4.503790683057181</v>
      </c>
    </row>
    <row r="75" spans="1:11" ht="14.25" x14ac:dyDescent="0.15">
      <c r="A75" s="1">
        <v>108</v>
      </c>
      <c r="B75" s="1" t="s">
        <v>74</v>
      </c>
      <c r="C75" t="s">
        <v>189</v>
      </c>
      <c r="D75">
        <v>40.700000000000003</v>
      </c>
      <c r="E75">
        <v>0.76100000000000001</v>
      </c>
      <c r="F75">
        <v>0.76900000000000002</v>
      </c>
      <c r="G75">
        <v>0.04</v>
      </c>
      <c r="H75">
        <v>0.17799999999999999</v>
      </c>
      <c r="I75" s="3" t="s">
        <v>154</v>
      </c>
      <c r="J75" s="1">
        <v>25700</v>
      </c>
      <c r="K75" s="7">
        <f t="shared" si="1"/>
        <v>4.4099331233312942</v>
      </c>
    </row>
    <row r="76" spans="1:11" ht="14.25" x14ac:dyDescent="0.15">
      <c r="A76" s="1">
        <v>109</v>
      </c>
      <c r="B76" s="1" t="s">
        <v>75</v>
      </c>
      <c r="C76" t="s">
        <v>209</v>
      </c>
      <c r="D76">
        <v>40.700000000000003</v>
      </c>
      <c r="E76">
        <v>0.76100000000000001</v>
      </c>
      <c r="F76">
        <v>0.76900000000000002</v>
      </c>
      <c r="G76">
        <v>0.04</v>
      </c>
      <c r="H76">
        <v>0.17799999999999999</v>
      </c>
      <c r="I76" s="3" t="s">
        <v>155</v>
      </c>
      <c r="J76" s="1">
        <v>31800</v>
      </c>
      <c r="K76" s="7">
        <f t="shared" si="1"/>
        <v>4.502427119984433</v>
      </c>
    </row>
    <row r="77" spans="1:11" ht="14.25" x14ac:dyDescent="0.15">
      <c r="A77" s="1">
        <v>110</v>
      </c>
      <c r="B77" s="1" t="s">
        <v>76</v>
      </c>
      <c r="C77" t="s">
        <v>189</v>
      </c>
      <c r="D77">
        <v>40.700000000000003</v>
      </c>
      <c r="E77">
        <v>0.76100000000000001</v>
      </c>
      <c r="F77">
        <v>0.76900000000000002</v>
      </c>
      <c r="G77">
        <v>0.04</v>
      </c>
      <c r="H77">
        <v>0.17799999999999999</v>
      </c>
      <c r="I77" s="3" t="s">
        <v>156</v>
      </c>
      <c r="J77" s="1">
        <v>27500</v>
      </c>
      <c r="K77" s="7">
        <f t="shared" si="1"/>
        <v>4.4393326938302629</v>
      </c>
    </row>
    <row r="78" spans="1:11" ht="14.25" x14ac:dyDescent="0.15">
      <c r="A78" s="1">
        <v>111</v>
      </c>
      <c r="B78" s="1" t="s">
        <v>77</v>
      </c>
      <c r="C78" t="s">
        <v>189</v>
      </c>
      <c r="D78">
        <v>40.700000000000003</v>
      </c>
      <c r="E78">
        <v>0.76100000000000001</v>
      </c>
      <c r="F78">
        <v>0.76900000000000002</v>
      </c>
      <c r="G78">
        <v>0.04</v>
      </c>
      <c r="H78">
        <v>0.17799999999999999</v>
      </c>
      <c r="I78" s="3" t="s">
        <v>157</v>
      </c>
      <c r="J78" s="1">
        <v>33500</v>
      </c>
      <c r="K78" s="7">
        <f t="shared" si="1"/>
        <v>4.5250448070368456</v>
      </c>
    </row>
    <row r="79" spans="1:11" ht="14.25" x14ac:dyDescent="0.15">
      <c r="A79" s="1">
        <v>112</v>
      </c>
      <c r="B79" s="1" t="s">
        <v>78</v>
      </c>
      <c r="C79" t="s">
        <v>210</v>
      </c>
      <c r="D79">
        <v>40.700000000000003</v>
      </c>
      <c r="E79">
        <v>0.76100000000000001</v>
      </c>
      <c r="F79">
        <v>0.76900000000000002</v>
      </c>
      <c r="G79">
        <v>0.04</v>
      </c>
      <c r="H79">
        <v>0.17799999999999999</v>
      </c>
      <c r="I79" s="3" t="s">
        <v>158</v>
      </c>
      <c r="J79" s="1">
        <v>31700</v>
      </c>
      <c r="K79" s="7">
        <f t="shared" si="1"/>
        <v>4.5010592622177512</v>
      </c>
    </row>
    <row r="80" spans="1:11" ht="14.25" x14ac:dyDescent="0.15">
      <c r="A80" s="1">
        <v>113</v>
      </c>
      <c r="B80" s="1" t="s">
        <v>79</v>
      </c>
      <c r="C80" t="s">
        <v>209</v>
      </c>
      <c r="D80">
        <v>40.700000000000003</v>
      </c>
      <c r="E80">
        <v>0.76100000000000001</v>
      </c>
      <c r="F80">
        <v>0.76900000000000002</v>
      </c>
      <c r="G80">
        <v>0.04</v>
      </c>
      <c r="H80">
        <v>0.17799999999999999</v>
      </c>
      <c r="I80" s="3" t="s">
        <v>159</v>
      </c>
      <c r="J80" s="1">
        <v>34700</v>
      </c>
      <c r="K80" s="7">
        <f t="shared" si="1"/>
        <v>4.540329474790874</v>
      </c>
    </row>
    <row r="81" spans="1:11" ht="14.25" x14ac:dyDescent="0.15">
      <c r="A81" s="1">
        <v>114</v>
      </c>
      <c r="B81" s="1" t="s">
        <v>80</v>
      </c>
      <c r="C81" t="s">
        <v>202</v>
      </c>
      <c r="D81">
        <v>63.1</v>
      </c>
      <c r="E81">
        <v>0.68100000000000005</v>
      </c>
      <c r="F81">
        <v>0.997</v>
      </c>
      <c r="G81">
        <v>1.0620000000000001</v>
      </c>
      <c r="H81">
        <v>2.5000000000000001E-2</v>
      </c>
      <c r="I81" s="3" t="s">
        <v>160</v>
      </c>
      <c r="J81" s="1">
        <v>89000</v>
      </c>
      <c r="K81" s="7">
        <f t="shared" si="1"/>
        <v>4.9493900066449124</v>
      </c>
    </row>
    <row r="82" spans="1:11" ht="14.25" x14ac:dyDescent="0.15">
      <c r="A82" s="1">
        <v>115</v>
      </c>
      <c r="B82" s="1" t="s">
        <v>81</v>
      </c>
      <c r="C82" t="s">
        <v>202</v>
      </c>
      <c r="D82">
        <v>63.1</v>
      </c>
      <c r="E82">
        <v>0.68100000000000005</v>
      </c>
      <c r="F82">
        <v>0.997</v>
      </c>
      <c r="G82">
        <v>1.0620000000000001</v>
      </c>
      <c r="H82">
        <v>2.5000000000000001E-2</v>
      </c>
      <c r="I82" s="3" t="s">
        <v>161</v>
      </c>
      <c r="J82" s="1">
        <v>35000</v>
      </c>
      <c r="K82" s="7">
        <f t="shared" si="1"/>
        <v>4.5440680443502757</v>
      </c>
    </row>
    <row r="83" spans="1:11" ht="14.25" x14ac:dyDescent="0.15">
      <c r="A83" s="1">
        <v>116</v>
      </c>
      <c r="B83" s="1" t="s">
        <v>82</v>
      </c>
      <c r="C83" t="s">
        <v>204</v>
      </c>
      <c r="D83">
        <v>63.1</v>
      </c>
      <c r="E83">
        <v>0.68100000000000005</v>
      </c>
      <c r="F83">
        <v>0.997</v>
      </c>
      <c r="G83">
        <v>1.0620000000000001</v>
      </c>
      <c r="H83">
        <v>2.5000000000000001E-2</v>
      </c>
      <c r="I83" s="3" t="s">
        <v>162</v>
      </c>
      <c r="J83" s="1">
        <v>40000</v>
      </c>
      <c r="K83" s="7">
        <f t="shared" si="1"/>
        <v>4.6020599913279625</v>
      </c>
    </row>
    <row r="84" spans="1:11" ht="14.25" x14ac:dyDescent="0.15">
      <c r="A84" s="1">
        <v>117</v>
      </c>
      <c r="B84" s="1" t="s">
        <v>83</v>
      </c>
      <c r="C84" t="s">
        <v>211</v>
      </c>
      <c r="D84">
        <v>63.1</v>
      </c>
      <c r="E84">
        <v>0.68100000000000005</v>
      </c>
      <c r="F84">
        <v>0.997</v>
      </c>
      <c r="G84">
        <v>1.0620000000000001</v>
      </c>
      <c r="H84">
        <v>2.5000000000000001E-2</v>
      </c>
      <c r="I84" s="3" t="s">
        <v>163</v>
      </c>
      <c r="J84" s="1">
        <v>26000</v>
      </c>
      <c r="K84" s="7">
        <f t="shared" si="1"/>
        <v>4.4149733479708182</v>
      </c>
    </row>
    <row r="85" spans="1:11" x14ac:dyDescent="0.15">
      <c r="A85" s="1">
        <v>133</v>
      </c>
      <c r="B85" s="1" t="s">
        <v>84</v>
      </c>
      <c r="C85" t="s">
        <v>209</v>
      </c>
      <c r="D85">
        <v>40.700000000000003</v>
      </c>
      <c r="E85">
        <v>0.76100000000000001</v>
      </c>
      <c r="F85">
        <v>0.76900000000000002</v>
      </c>
      <c r="G85">
        <v>0.04</v>
      </c>
      <c r="H85">
        <v>0.17799999999999999</v>
      </c>
      <c r="I85" s="3" t="s">
        <v>174</v>
      </c>
      <c r="J85" s="1">
        <v>113500</v>
      </c>
      <c r="K85" s="7">
        <f t="shared" si="1"/>
        <v>5.0549958615291413</v>
      </c>
    </row>
    <row r="86" spans="1:11" x14ac:dyDescent="0.15">
      <c r="A86" s="1">
        <v>134</v>
      </c>
      <c r="B86" s="1" t="s">
        <v>85</v>
      </c>
      <c r="C86" t="s">
        <v>209</v>
      </c>
      <c r="D86">
        <v>40.700000000000003</v>
      </c>
      <c r="E86">
        <v>0.76100000000000001</v>
      </c>
      <c r="F86">
        <v>0.76900000000000002</v>
      </c>
      <c r="G86">
        <v>0.04</v>
      </c>
      <c r="H86">
        <v>0.17799999999999999</v>
      </c>
      <c r="I86" s="3" t="s">
        <v>175</v>
      </c>
      <c r="J86" s="1">
        <v>120800</v>
      </c>
      <c r="K86" s="7">
        <f t="shared" si="1"/>
        <v>5.0820669342851126</v>
      </c>
    </row>
    <row r="87" spans="1:11" x14ac:dyDescent="0.15">
      <c r="A87" s="1">
        <v>135</v>
      </c>
      <c r="B87" s="1" t="s">
        <v>86</v>
      </c>
      <c r="C87" t="s">
        <v>212</v>
      </c>
      <c r="D87">
        <v>40.700000000000003</v>
      </c>
      <c r="E87">
        <v>0.76100000000000001</v>
      </c>
      <c r="F87">
        <v>0.76900000000000002</v>
      </c>
      <c r="G87">
        <v>0.04</v>
      </c>
      <c r="H87">
        <v>0.17799999999999999</v>
      </c>
      <c r="I87" s="3" t="s">
        <v>176</v>
      </c>
      <c r="J87" s="1">
        <v>157500</v>
      </c>
      <c r="K87" s="7">
        <f t="shared" si="1"/>
        <v>5.1972805581256196</v>
      </c>
    </row>
    <row r="88" spans="1:11" x14ac:dyDescent="0.15">
      <c r="A88" s="1">
        <v>136</v>
      </c>
      <c r="B88" s="1" t="s">
        <v>87</v>
      </c>
      <c r="C88" t="s">
        <v>213</v>
      </c>
      <c r="D88">
        <v>55.4</v>
      </c>
      <c r="E88">
        <v>0.60799999999999998</v>
      </c>
      <c r="F88">
        <v>0.90400000000000003</v>
      </c>
      <c r="G88">
        <v>0.60499999999999998</v>
      </c>
      <c r="H88">
        <v>0.54500000000000004</v>
      </c>
      <c r="I88" s="3" t="s">
        <v>112</v>
      </c>
      <c r="J88">
        <v>210000</v>
      </c>
      <c r="K88" s="7">
        <f t="shared" si="1"/>
        <v>5.3222192947339195</v>
      </c>
    </row>
    <row r="89" spans="1:11" x14ac:dyDescent="0.15">
      <c r="A89" s="1">
        <v>137</v>
      </c>
      <c r="B89" s="1" t="s">
        <v>88</v>
      </c>
      <c r="C89" t="s">
        <v>214</v>
      </c>
      <c r="D89">
        <v>55.4</v>
      </c>
      <c r="E89">
        <v>0.60799999999999998</v>
      </c>
      <c r="F89">
        <v>0.90400000000000003</v>
      </c>
      <c r="G89">
        <v>0.60499999999999998</v>
      </c>
      <c r="H89">
        <v>0.54500000000000004</v>
      </c>
      <c r="I89" s="3" t="s">
        <v>113</v>
      </c>
      <c r="J89">
        <v>120000</v>
      </c>
      <c r="K89" s="7">
        <f t="shared" si="1"/>
        <v>5.0791812460476251</v>
      </c>
    </row>
    <row r="90" spans="1:11" ht="14.25" x14ac:dyDescent="0.15">
      <c r="A90" s="1">
        <v>138</v>
      </c>
      <c r="B90" s="1" t="s">
        <v>89</v>
      </c>
      <c r="C90" t="s">
        <v>202</v>
      </c>
      <c r="D90">
        <v>63.1</v>
      </c>
      <c r="E90">
        <v>0.68100000000000005</v>
      </c>
      <c r="F90">
        <v>0.997</v>
      </c>
      <c r="G90">
        <v>1.0620000000000001</v>
      </c>
      <c r="H90">
        <v>2.5000000000000001E-2</v>
      </c>
      <c r="I90" s="3" t="s">
        <v>164</v>
      </c>
      <c r="J90">
        <v>49800</v>
      </c>
      <c r="K90" s="7">
        <f t="shared" si="1"/>
        <v>4.6972293427597176</v>
      </c>
    </row>
    <row r="91" spans="1:11" x14ac:dyDescent="0.15">
      <c r="A91" s="1">
        <v>140</v>
      </c>
      <c r="B91" s="1" t="s">
        <v>90</v>
      </c>
      <c r="C91" t="s">
        <v>199</v>
      </c>
      <c r="D91">
        <v>45.1</v>
      </c>
      <c r="E91">
        <v>0.83</v>
      </c>
      <c r="F91">
        <v>1</v>
      </c>
      <c r="G91">
        <v>7.1999999999999995E-2</v>
      </c>
      <c r="H91">
        <v>0.64700000000000002</v>
      </c>
      <c r="I91" s="3">
        <v>151150</v>
      </c>
      <c r="J91">
        <v>151150</v>
      </c>
      <c r="K91" s="7">
        <f t="shared" si="1"/>
        <v>5.1794081515138357</v>
      </c>
    </row>
    <row r="92" spans="1:11" ht="14.25" x14ac:dyDescent="0.15">
      <c r="A92" s="1">
        <v>142</v>
      </c>
      <c r="B92" s="1" t="s">
        <v>91</v>
      </c>
      <c r="C92" t="s">
        <v>198</v>
      </c>
      <c r="D92">
        <v>41.3</v>
      </c>
      <c r="E92">
        <v>0.77100000000000002</v>
      </c>
      <c r="F92">
        <v>0.74199999999999999</v>
      </c>
      <c r="G92">
        <v>0.03</v>
      </c>
      <c r="H92">
        <v>0.126</v>
      </c>
      <c r="I92" s="3" t="s">
        <v>165</v>
      </c>
      <c r="J92">
        <v>31300</v>
      </c>
      <c r="K92" s="7">
        <f t="shared" si="1"/>
        <v>4.4955443375464483</v>
      </c>
    </row>
    <row r="93" spans="1:11" ht="14.25" x14ac:dyDescent="0.15">
      <c r="A93" s="1">
        <v>143</v>
      </c>
      <c r="B93" s="1" t="s">
        <v>92</v>
      </c>
      <c r="C93" t="s">
        <v>198</v>
      </c>
      <c r="D93">
        <v>41.3</v>
      </c>
      <c r="E93">
        <v>0.77100000000000002</v>
      </c>
      <c r="F93">
        <v>0.74199999999999999</v>
      </c>
      <c r="G93">
        <v>0.03</v>
      </c>
      <c r="H93">
        <v>0.126</v>
      </c>
      <c r="I93" s="3" t="s">
        <v>166</v>
      </c>
      <c r="J93">
        <v>26800</v>
      </c>
      <c r="K93" s="7">
        <f t="shared" si="1"/>
        <v>4.4281347940287885</v>
      </c>
    </row>
    <row r="94" spans="1:11" x14ac:dyDescent="0.15">
      <c r="A94" s="1">
        <v>149</v>
      </c>
      <c r="B94" s="1" t="s">
        <v>93</v>
      </c>
      <c r="C94" t="s">
        <v>215</v>
      </c>
      <c r="D94">
        <v>55.4</v>
      </c>
      <c r="E94">
        <v>0.60799999999999998</v>
      </c>
      <c r="F94">
        <v>0.90400000000000003</v>
      </c>
      <c r="G94">
        <v>0.60499999999999998</v>
      </c>
      <c r="H94">
        <v>0.54500000000000004</v>
      </c>
      <c r="I94" s="3">
        <v>54100</v>
      </c>
      <c r="J94">
        <v>54100</v>
      </c>
      <c r="K94" s="7">
        <f t="shared" si="1"/>
        <v>4.7331972651065692</v>
      </c>
    </row>
    <row r="95" spans="1:11" x14ac:dyDescent="0.15">
      <c r="A95" s="1">
        <v>150</v>
      </c>
      <c r="B95" s="1" t="s">
        <v>94</v>
      </c>
      <c r="C95" t="s">
        <v>215</v>
      </c>
      <c r="D95">
        <v>55.4</v>
      </c>
      <c r="E95">
        <v>0.60799999999999998</v>
      </c>
      <c r="F95">
        <v>0.90400000000000003</v>
      </c>
      <c r="G95">
        <v>0.60499999999999998</v>
      </c>
      <c r="H95">
        <v>0.54500000000000004</v>
      </c>
      <c r="I95" s="3">
        <v>40620</v>
      </c>
      <c r="J95">
        <v>40620</v>
      </c>
      <c r="K95" s="7">
        <f t="shared" si="1"/>
        <v>4.6087399190687881</v>
      </c>
    </row>
    <row r="96" spans="1:11" x14ac:dyDescent="0.15">
      <c r="A96" s="1">
        <v>151</v>
      </c>
      <c r="B96" s="1" t="s">
        <v>95</v>
      </c>
      <c r="C96" t="s">
        <v>214</v>
      </c>
      <c r="D96">
        <v>55.4</v>
      </c>
      <c r="E96">
        <v>0.60799999999999998</v>
      </c>
      <c r="F96">
        <v>0.90400000000000003</v>
      </c>
      <c r="G96">
        <v>0.60499999999999998</v>
      </c>
      <c r="H96">
        <v>0.54500000000000004</v>
      </c>
      <c r="I96" s="3">
        <v>39980</v>
      </c>
      <c r="J96">
        <v>39980</v>
      </c>
      <c r="K96" s="7">
        <f t="shared" si="1"/>
        <v>4.6018427897820979</v>
      </c>
    </row>
    <row r="97" spans="1:11" ht="14.25" x14ac:dyDescent="0.15">
      <c r="A97" s="1">
        <v>152</v>
      </c>
      <c r="B97" s="1" t="s">
        <v>96</v>
      </c>
      <c r="C97" t="s">
        <v>216</v>
      </c>
      <c r="D97">
        <v>41.3</v>
      </c>
      <c r="E97">
        <v>0.77100000000000002</v>
      </c>
      <c r="F97">
        <v>0.74199999999999999</v>
      </c>
      <c r="G97">
        <v>0.03</v>
      </c>
      <c r="H97">
        <v>0.126</v>
      </c>
      <c r="I97" s="3" t="s">
        <v>167</v>
      </c>
      <c r="J97">
        <v>140000</v>
      </c>
      <c r="K97" s="7">
        <f t="shared" si="1"/>
        <v>5.1461280356782382</v>
      </c>
    </row>
    <row r="98" spans="1:11" ht="14.25" x14ac:dyDescent="0.15">
      <c r="A98" s="1">
        <v>153</v>
      </c>
      <c r="B98" s="1" t="s">
        <v>97</v>
      </c>
      <c r="C98" t="s">
        <v>217</v>
      </c>
      <c r="D98">
        <v>41.3</v>
      </c>
      <c r="E98">
        <v>0.77100000000000002</v>
      </c>
      <c r="F98">
        <v>0.74199999999999999</v>
      </c>
      <c r="G98">
        <v>0.03</v>
      </c>
      <c r="H98">
        <v>0.126</v>
      </c>
      <c r="I98" s="3" t="s">
        <v>168</v>
      </c>
      <c r="J98">
        <v>59000</v>
      </c>
      <c r="K98" s="7">
        <f t="shared" si="1"/>
        <v>4.7708520116421438</v>
      </c>
    </row>
    <row r="99" spans="1:11" ht="14.25" x14ac:dyDescent="0.15">
      <c r="A99" s="1">
        <v>156</v>
      </c>
      <c r="B99" s="1" t="s">
        <v>98</v>
      </c>
      <c r="C99" t="s">
        <v>193</v>
      </c>
      <c r="D99">
        <v>45.1</v>
      </c>
      <c r="E99">
        <v>0.83</v>
      </c>
      <c r="F99">
        <v>1</v>
      </c>
      <c r="G99">
        <v>7.1999999999999995E-2</v>
      </c>
      <c r="H99">
        <v>0.64700000000000002</v>
      </c>
      <c r="I99" s="3" t="s">
        <v>169</v>
      </c>
      <c r="J99">
        <v>88000</v>
      </c>
      <c r="K99" s="7">
        <f t="shared" si="1"/>
        <v>4.9444826721501682</v>
      </c>
    </row>
    <row r="100" spans="1:11" ht="14.25" x14ac:dyDescent="0.15">
      <c r="A100" s="1">
        <v>157</v>
      </c>
      <c r="B100" s="1" t="s">
        <v>99</v>
      </c>
      <c r="C100" t="s">
        <v>193</v>
      </c>
      <c r="D100">
        <v>45.1</v>
      </c>
      <c r="E100">
        <v>0.83</v>
      </c>
      <c r="F100">
        <v>1</v>
      </c>
      <c r="G100">
        <v>7.1999999999999995E-2</v>
      </c>
      <c r="H100">
        <v>0.64700000000000002</v>
      </c>
      <c r="I100" s="3" t="s">
        <v>170</v>
      </c>
      <c r="J100">
        <v>84000</v>
      </c>
      <c r="K100" s="7">
        <f t="shared" si="1"/>
        <v>4.924279286061882</v>
      </c>
    </row>
    <row r="101" spans="1:11" ht="14.25" x14ac:dyDescent="0.15">
      <c r="A101" s="1">
        <v>158</v>
      </c>
      <c r="B101" s="1" t="s">
        <v>100</v>
      </c>
      <c r="C101" t="s">
        <v>193</v>
      </c>
      <c r="D101">
        <v>45.1</v>
      </c>
      <c r="E101">
        <v>0.83</v>
      </c>
      <c r="F101">
        <v>1</v>
      </c>
      <c r="G101">
        <v>7.1999999999999995E-2</v>
      </c>
      <c r="H101">
        <v>0.64700000000000002</v>
      </c>
      <c r="I101" s="3" t="s">
        <v>171</v>
      </c>
      <c r="J101">
        <v>173000</v>
      </c>
      <c r="K101" s="7">
        <f t="shared" si="1"/>
        <v>5.238046103128795</v>
      </c>
    </row>
    <row r="102" spans="1:11" x14ac:dyDescent="0.15">
      <c r="A102" s="1">
        <v>159</v>
      </c>
      <c r="B102" s="1" t="s">
        <v>101</v>
      </c>
      <c r="C102" t="s">
        <v>218</v>
      </c>
      <c r="D102">
        <v>45.1</v>
      </c>
      <c r="E102">
        <v>0.83</v>
      </c>
      <c r="F102">
        <v>1</v>
      </c>
      <c r="G102">
        <v>7.1999999999999995E-2</v>
      </c>
      <c r="H102">
        <v>0.64700000000000002</v>
      </c>
      <c r="I102" s="3" t="s">
        <v>114</v>
      </c>
      <c r="J102">
        <v>138750</v>
      </c>
      <c r="K102" s="7">
        <f t="shared" si="1"/>
        <v>5.1422329917947138</v>
      </c>
    </row>
    <row r="103" spans="1:11" x14ac:dyDescent="0.15">
      <c r="A103" s="1">
        <v>160</v>
      </c>
      <c r="B103" s="1" t="s">
        <v>90</v>
      </c>
      <c r="C103" t="s">
        <v>193</v>
      </c>
      <c r="D103">
        <v>45.1</v>
      </c>
      <c r="E103">
        <v>0.83</v>
      </c>
      <c r="F103">
        <v>1</v>
      </c>
      <c r="G103">
        <v>7.1999999999999995E-2</v>
      </c>
      <c r="H103">
        <v>0.64700000000000002</v>
      </c>
      <c r="I103" s="3">
        <v>64150</v>
      </c>
      <c r="J103">
        <v>64150</v>
      </c>
      <c r="K103" s="7">
        <f t="shared" si="1"/>
        <v>4.8071966607109475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2025-04-01T07:51:45Z</dcterms:modified>
</cp:coreProperties>
</file>